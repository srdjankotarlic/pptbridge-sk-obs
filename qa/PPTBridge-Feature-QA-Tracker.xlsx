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396080d53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28e93f420c4d0f"/>
    <x:sheet xmlns:r="http://schemas.openxmlformats.org/officeDocument/2006/relationships" name="UserStories" sheetId="2" r:id="Re070efea1af34629"/>
    <x:sheet xmlns:r="http://schemas.openxmlformats.org/officeDocument/2006/relationships" name="TestLog" sheetId="3" r:id="R5d39d48b4cd743d2"/>
    <x:sheet xmlns:r="http://schemas.openxmlformats.org/officeDocument/2006/relationships" name="Issues" sheetId="4" r:id="R44ec392a4c24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sz val="11"/>
      <x:color rgb="FF111827"/>
      <x:name val="Carlito"/>
    </x:font>
    <x:font>
      <x:b/>
      <x:sz val="18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EAF2FF"/>
      </x:patternFill>
    </x:fill>
    <x:fill>
      <x:patternFill patternType="solid">
        <x:fgColor rgb="FF1F4E78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5" borderId="2" xfId="0" applyNumberFormat="1" applyFont="1" applyFill="1" applyBorder="1"/>
    <x:xf numFmtId="0" fontId="4" fillId="5" borderId="2" xfId="0" applyNumberFormat="1" applyFont="1" applyFill="1" applyBorder="1"/>
    <x:xf numFmtId="0" fontId="0" fillId="6" borderId="2" xfId="0" applyNumberFormat="1" applyFont="1" applyFill="1" applyBorder="1"/>
    <x:xf numFmtId="0" fontId="5" fillId="6" borderId="2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d7e99b6744b5d" /><Relationship Type="http://schemas.openxmlformats.org/officeDocument/2006/relationships/theme" Target="/xl/theme/theme1.xml" Id="Ra8e18631ccd74ce5" /><Relationship Type="http://schemas.openxmlformats.org/officeDocument/2006/relationships/sharedStrings" Target="/xl/sharedStrings.xml" Id="R0117c189e1474811" /><Relationship Type="http://schemas.openxmlformats.org/officeDocument/2006/relationships/worksheet" Target="/xl/worksheets/sheet1.xml" Id="Rb628e93f420c4d0f" /><Relationship Type="http://schemas.openxmlformats.org/officeDocument/2006/relationships/worksheet" Target="/xl/worksheets/sheet2.xml" Id="Re070efea1af34629" /><Relationship Type="http://schemas.openxmlformats.org/officeDocument/2006/relationships/worksheet" Target="/xl/worksheets/sheet3.xml" Id="R5d39d48b4cd743d2" /><Relationship Type="http://schemas.openxmlformats.org/officeDocument/2006/relationships/worksheet" Target="/xl/worksheets/sheet4.xml" Id="R44ec392a4c244764" /></Relationships>
</file>

<file path=xl/tables/table1.xml><?xml version="1.0" encoding="utf-8"?>
<x:table xmlns:x="http://schemas.openxmlformats.org/spreadsheetml/2006/main" id="1" name="UserStoriesTable" displayName="UserStoriesTable" ref="A4:N74" headerRowCount="1">
  <x:tableColumns count="14">
    <x:tableColumn id="1" name="ID"/>
    <x:tableColumn id="2" name="Category"/>
    <x:tableColumn id="3" name="Feature"/>
    <x:tableColumn id="4" name="Platform"/>
    <x:tableColumn id="5" name="User Story"/>
    <x:tableColumn id="6" name="Expected Behavior"/>
    <x:tableColumn id="7" name="Acceptance Criteria"/>
    <x:tableColumn id="8" name="Source Evidence"/>
    <x:tableColumn id="9" name="Test Method"/>
    <x:tableColumn id="10" name="Test Status"/>
    <x:tableColumn id="11" name="Feature Status"/>
    <x:tableColumn id="12" name="Priority"/>
    <x:tableColumn id="13" name="Last Checked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LogTable" displayName="TestLogTable" ref="A4:I43" headerRowCount="1">
  <x:tableColumns count="9">
    <x:tableColumn id="1" name="Test ID"/>
    <x:tableColumn id="2" name="Story ID"/>
    <x:tableColumn id="3" name="Scenario"/>
    <x:tableColumn id="4" name="Steps"/>
    <x:tableColumn id="5" name="Expected"/>
    <x:tableColumn id="6" name="Actual"/>
    <x:tableColumn id="7" name="Result"/>
    <x:tableColumn id="8" name="Evidence"/>
    <x:tableColumn id="9" name="Last Run"/>
  </x:tableColumns>
  <x:tableStyleInfo name="TableStyleMedium2" showRowStripes="1"/>
</x:table>
</file>

<file path=xl/tables/table3.xml><?xml version="1.0" encoding="utf-8"?>
<x:table xmlns:x="http://schemas.openxmlformats.org/spreadsheetml/2006/main" id="3" name="IssuesTable" displayName="IssuesTable" ref="A4:J7" headerRowCount="1">
  <x:tableColumns count="10">
    <x:tableColumn id="1" name="Issue ID"/>
    <x:tableColumn id="2" name="Story ID"/>
    <x:tableColumn id="3" name="Status"/>
    <x:tableColumn id="4" name="Severity"/>
    <x:tableColumn id="5" name="Type"/>
    <x:tableColumn id="6" name="Description"/>
    <x:tableColumn id="7" name="Evidence"/>
    <x:tableColumn id="8" name="Next Action"/>
    <x:tableColumn id="9" name="Fix Summary"/>
    <x:tableColumn id="10" name="Retest 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5ec4879bf542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21c7e3830a42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acef69480a44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2" t="str">
        <x:v>PPTBridge SK QA Summary</x:v>
      </x:c>
    </x:row>
    <x:row r="2" ht="28" customHeight="1">
      <x:c r="A2" s="5" t="str">
        <x:v>Single canonical tracker for feature coverage, user stories, testing, issues, and retesting. Generated 2026-06-23.</x:v>
      </x:c>
    </x:row>
    <x:row r="4">
      <x:c r="A4" s="9" t="str">
        <x:v>Metric</x:v>
      </x:c>
      <x:c r="B4" s="9" t="str">
        <x:v>Value</x:v>
      </x:c>
    </x:row>
    <x:row r="5">
      <x:c r="A5" s="12" t="str">
        <x:v>Total user stories</x:v>
      </x:c>
      <x:c r="B5" s="14" t="n">
        <x:v>70</x:v>
      </x:c>
    </x:row>
    <x:row r="6">
      <x:c r="A6" s="12" t="str">
        <x:v>Verified / Pass</x:v>
      </x:c>
      <x:c r="B6" s="14" t="n">
        <x:f>COUNTIF('UserStories'!J5:J74,"Verified")+COUNTIF('UserStories'!J5:J74,"Pass")</x:f>
        <x:v>14</x:v>
      </x:c>
    </x:row>
    <x:row r="7">
      <x:c r="A7" s="12" t="str">
        <x:v>Needs manual test</x:v>
      </x:c>
      <x:c r="B7" s="14" t="n">
        <x:f>COUNTIF('UserStories'!J5:J74,"Needs Manual")</x:f>
        <x:v>36</x:v>
      </x:c>
    </x:row>
    <x:row r="8">
      <x:c r="A8" s="12" t="str">
        <x:v>Not run</x:v>
      </x:c>
      <x:c r="B8" s="14" t="n">
        <x:f>COUNTIF('UserStories'!J5:J74,"Not Run")</x:f>
        <x:v>20</x:v>
      </x:c>
    </x:row>
    <x:row r="9">
      <x:c r="A9" s="12" t="str">
        <x:v>Retest required</x:v>
      </x:c>
      <x:c r="B9" s="14" t="n">
        <x:f>COUNTIF('UserStories'!J5:J74,"Retest Required")</x:f>
        <x:v>0</x:v>
      </x:c>
    </x:row>
    <x:row r="10">
      <x:c r="A10" s="12" t="str">
        <x:v>Open issues</x:v>
      </x:c>
      <x:c r="B10" s="14" t="n">
        <x:f>COUNTIF('Issues'!C5:C7,"Open")</x:f>
        <x:v>1</x:v>
      </x:c>
    </x:row>
    <x:row r="11">
      <x:c r="A11" s="12" t="str">
        <x:v>P0 stories</x:v>
      </x:c>
      <x:c r="B11" s="14" t="n">
        <x:f>COUNTIF('UserStories'!L5:L74,"P0")</x:f>
        <x:v>23</x:v>
      </x:c>
    </x:row>
    <x:row r="12">
      <x:c r="A12" s="12" t="str">
        <x:v>Latest stable tracked</x:v>
      </x:c>
      <x:c r="B12" s="14" t="str">
        <x:v>v0.5.7 Apple Silicon</x:v>
      </x:c>
    </x:row>
    <x:row r="14">
      <x:c r="A14" s="7" t="str">
        <x:v>How to use this tracker</x:v>
      </x:c>
    </x:row>
    <x:row r="15" ht="120" customHeight="1">
      <x:c r="A15" s="17" t="str">
        <x:v>1. Start in User Stories and test every P0/P1 row first.
2. For each test, add or update a row in Test Log.
3. Any confirmed UX/logistical/runtime problem goes into Issues.
4. After fixes, update Retest Result and only mark the story Verified when the evidence is strong.</x:v>
      </x:c>
    </x:row>
  </x:sheetData>
  <x:mergeCells>
    <x:mergeCell ref="A1:H1"/>
    <x:mergeCell ref="A2:H2"/>
    <x:mergeCell ref="A14:H14"/>
    <x:mergeCell ref="A15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8" hidden="0" customWidth="1"/>
    <x:col min="4" max="4" width="23" hidden="0" customWidth="1"/>
    <x:col min="5" max="5" width="48" hidden="0" customWidth="1"/>
    <x:col min="6" max="6" width="56" hidden="0" customWidth="1"/>
    <x:col min="7" max="7" width="52" hidden="0" customWidth="1"/>
    <x:col min="8" max="8" width="42" hidden="0" customWidth="1"/>
    <x:col min="9" max="9" width="34" hidden="0" customWidth="1"/>
    <x:col min="10" max="10" width="16" hidden="0" customWidth="1"/>
    <x:col min="11" max="11" width="16" hidden="0" customWidth="1"/>
    <x:col min="12" max="12" width="10" hidden="0" customWidth="1"/>
    <x:col min="13" max="13" width="14" hidden="0" customWidth="1"/>
    <x:col min="14" max="14" width="38" hidden="0" customWidth="1"/>
  </x:cols>
  <x:sheetData>
    <x:row r="1" ht="28" customHeight="1">
      <x:c r="A1" s="18" t="str">
        <x:v>PPTBridge SK Feature QA Tracker</x:v>
      </x:c>
    </x:row>
    <x:row r="2" ht="28" customHeight="1">
      <x:c r="A2" s="5" t="str">
        <x:v>Canonical user-story tracker generated 2026-06-23. Source repo: https://github.com/srdjankotarlic/pptbridge-sk-obs</x:v>
      </x:c>
    </x:row>
    <x:row r="4">
      <x:c r="A4" s="9" t="str">
        <x:v>ID</x:v>
      </x:c>
      <x:c r="B4" s="9" t="str">
        <x:v>Category</x:v>
      </x:c>
      <x:c r="C4" s="9" t="str">
        <x:v>Feature</x:v>
      </x:c>
      <x:c r="D4" s="9" t="str">
        <x:v>Platform</x:v>
      </x:c>
      <x:c r="E4" s="9" t="str">
        <x:v>User Story</x:v>
      </x:c>
      <x:c r="F4" s="9" t="str">
        <x:v>Expected Behavior</x:v>
      </x:c>
      <x:c r="G4" s="9" t="str">
        <x:v>Acceptance Criteria</x:v>
      </x:c>
      <x:c r="H4" s="9" t="str">
        <x:v>Source Evidence</x:v>
      </x:c>
      <x:c r="I4" s="9" t="str">
        <x:v>Test Method</x:v>
      </x:c>
      <x:c r="J4" s="9" t="str">
        <x:v>Test Status</x:v>
      </x:c>
      <x:c r="K4" s="9" t="str">
        <x:v>Feature Status</x:v>
      </x:c>
      <x:c r="L4" s="9" t="str">
        <x:v>Priority</x:v>
      </x:c>
      <x:c r="M4" s="9" t="str">
        <x:v>Last Checked</x:v>
      </x:c>
      <x:c r="N4" s="9" t="str">
        <x:v>Notes</x:v>
      </x:c>
    </x:row>
    <x:row r="5" ht="58" customHeight="1">
      <x:c r="A5" s="20" t="str">
        <x:v>SRC-001</x:v>
      </x:c>
      <x:c r="B5" s="20" t="str">
        <x:v>OBS Sources</x:v>
      </x:c>
      <x:c r="C5" s="20" t="str">
        <x:v>Add clean slide source</x:v>
      </x:c>
      <x:c r="D5" s="20" t="str">
        <x:v>macOS stable, Windows beta</x:v>
      </x:c>
      <x:c r="E5" s="20" t="str">
        <x:v>As an OBS operator, I can add PPTBridge SK Slide as a native OBS source.</x:v>
      </x:c>
      <x:c r="F5" s="20" t="str">
        <x:v>The source appears in OBS, renders a 1920x1080 clean program output, and owns slide/audio/live capture behavior.</x:v>
      </x:c>
      <x:c r="G5" s="20" t="str">
        <x:v>Source can be added, deck path can be selected, and canvas size is stable at 1920x1080.</x:v>
      </x:c>
      <x:c r="H5" s="20" t="str">
        <x:v>native-plugin/src/source_slide.mm; README.md#OBS Sources</x:v>
      </x:c>
      <x:c r="I5" s="20" t="str">
        <x:v>OBS runtime source-add test</x:v>
      </x:c>
      <x:c r="J5" s="20" t="str">
        <x:v>Needs Manual</x:v>
      </x:c>
      <x:c r="K5" s="20" t="str">
        <x:v>Implemented</x:v>
      </x:c>
      <x:c r="L5" s="20" t="str">
        <x:v>P0</x:v>
      </x:c>
      <x:c r="M5" s="20" t="str">
        <x:v>2026-06-23</x:v>
      </x:c>
      <x:c r="N5" s="20" t="str"/>
    </x:row>
    <x:row r="6" ht="58" customHeight="1">
      <x:c r="A6" s="20" t="str">
        <x:v>SRC-002</x:v>
      </x:c>
      <x:c r="B6" s="20" t="str">
        <x:v>OBS Sources</x:v>
      </x:c>
      <x:c r="C6" s="20" t="str">
        <x:v>Add presenter confidence source</x:v>
      </x:c>
      <x:c r="D6" s="20" t="str">
        <x:v>macOS stable, Windows beta</x:v>
      </x:c>
      <x:c r="E6" s="20" t="str">
        <x:v>As a presenter or operator, I can add PPTBridge SK Presenter as a separate OBS source.</x:v>
      </x:c>
      <x:c r="F6" s="20" t="str">
        <x:v>The source renders current slide, next slide, timer, notes, and presenter layout controls without becoming the audience feed.</x:v>
      </x:c>
      <x:c r="G6" s="20" t="str">
        <x:v>Presenter source appears, accepts same deck file, and exposes canvas/customization controls.</x:v>
      </x:c>
      <x:c r="H6" s="20" t="str">
        <x:v>native-plugin/src/source_presenter.mm; README.md#OBS Sources</x:v>
      </x:c>
      <x:c r="I6" s="20" t="str">
        <x:v>OBS runtime source-add test</x:v>
      </x:c>
      <x:c r="J6" s="20" t="str">
        <x:v>Needs Manual</x:v>
      </x:c>
      <x:c r="K6" s="20" t="str">
        <x:v>Implemented</x:v>
      </x:c>
      <x:c r="L6" s="20" t="str">
        <x:v>P0</x:v>
      </x:c>
      <x:c r="M6" s="20" t="str">
        <x:v>2026-06-23</x:v>
      </x:c>
      <x:c r="N6" s="20" t="str"/>
    </x:row>
    <x:row r="7" ht="58" customHeight="1">
      <x:c r="A7" s="20" t="str">
        <x:v>DECK-001</x:v>
      </x:c>
      <x:c r="B7" s="20" t="str">
        <x:v>Deck Input</x:v>
      </x:c>
      <x:c r="C7" s="20" t="str">
        <x:v>Select PPTX on macOS</x:v>
      </x:c>
      <x:c r="D7" s="20" t="str">
        <x:v>macOS stable</x:v>
      </x:c>
      <x:c r="E7" s="20" t="str">
        <x:v>As an operator, I can select a .pptx file in either PPTBridge source.</x:v>
      </x:c>
      <x:c r="F7" s="20" t="str">
        <x:v>PPTBridge creates or reuses a shared PresentationDocument for the selected path and starts async loading.</x:v>
      </x:c>
      <x:c r="G7" s="20" t="str">
        <x:v>Changing the path updates document state, clears stale media/live capture, and begins load without freezing OBS.</x:v>
      </x:c>
      <x:c r="H7" s="20" t="str">
        <x:v>native-plugin/src/source_slide.mm source_update; presentation_document.hpp</x:v>
      </x:c>
      <x:c r="I7" s="20" t="str">
        <x:v>Source properties + load smoke</x:v>
      </x:c>
      <x:c r="J7" s="20" t="str">
        <x:v>Needs Manual</x:v>
      </x:c>
      <x:c r="K7" s="20" t="str">
        <x:v>Implemented</x:v>
      </x:c>
      <x:c r="L7" s="20" t="str">
        <x:v>P0</x:v>
      </x:c>
      <x:c r="M7" s="20" t="str">
        <x:v>2026-06-23</x:v>
      </x:c>
      <x:c r="N7" s="20" t="str"/>
    </x:row>
    <x:row r="8" ht="58" customHeight="1">
      <x:c r="A8" s="20" t="str">
        <x:v>DECK-002</x:v>
      </x:c>
      <x:c r="B8" s="20" t="str">
        <x:v>Deck Input</x:v>
      </x:c>
      <x:c r="C8" s="20" t="str">
        <x:v>Select PDF on macOS</x:v>
      </x:c>
      <x:c r="D8" s="20" t="str">
        <x:v>macOS stable</x:v>
      </x:c>
      <x:c r="E8" s="20" t="str">
        <x:v>As an operator, I can select a .pdf file without needing PowerPoint.</x:v>
      </x:c>
      <x:c r="F8" s="20" t="str">
        <x:v>PDF decks render directly through PPTBridge and hide PowerPoint Live Mode controls.</x:v>
      </x:c>
      <x:c r="G8" s="20" t="str">
        <x:v>PDF pages load, Next/Previous moves pages, and live PowerPoint controls are not shown.</x:v>
      </x:c>
      <x:c r="H8" s="20" t="str">
        <x:v>README.md#PowerPoint Live Controls; source_slide.mm selected_deck_is_pdf</x:v>
      </x:c>
      <x:c r="I8" s="20" t="str">
        <x:v>PDF render smoke + OBS properties check</x:v>
      </x:c>
      <x:c r="J8" s="20" t="str">
        <x:v>Needs Manual</x:v>
      </x:c>
      <x:c r="K8" s="20" t="str">
        <x:v>Implemented</x:v>
      </x:c>
      <x:c r="L8" s="20" t="str">
        <x:v>P0</x:v>
      </x:c>
      <x:c r="M8" s="20" t="str">
        <x:v>2026-06-23</x:v>
      </x:c>
      <x:c r="N8" s="20" t="str"/>
    </x:row>
    <x:row r="9" ht="58" customHeight="1">
      <x:c r="A9" s="20" t="str">
        <x:v>DECK-003</x:v>
      </x:c>
      <x:c r="B9" s="20" t="str">
        <x:v>Deck Input</x:v>
      </x:c>
      <x:c r="C9" s="20" t="str">
        <x:v>Select PPTX on Windows beta</x:v>
      </x:c>
      <x:c r="D9" s="20" t="str">
        <x:v>Windows beta</x:v>
      </x:c>
      <x:c r="E9" s="20" t="str">
        <x:v>As a Windows tester, I can select a PowerPoint file for live-mode testing.</x:v>
      </x:c>
      <x:c r="F9" s="20" t="str">
        <x:v>Windows beta supports PPTX live-mode workflow with PowerPoint installed; PDF is not enabled.</x:v>
      </x:c>
      <x:c r="G9" s="20" t="str">
        <x:v>INSTALL.cmd installs plugin and PPTX source can start live mode.</x:v>
      </x:c>
      <x:c r="H9" s="20" t="str">
        <x:v>README.md#Quick Windows Install; native-plugin/INSTALL-Windows.md</x:v>
      </x:c>
      <x:c r="I9" s="20" t="str">
        <x:v>Windows laptop manual validation</x:v>
      </x:c>
      <x:c r="J9" s="20" t="str">
        <x:v>Needs Manual</x:v>
      </x:c>
      <x:c r="K9" s="20" t="str">
        <x:v>Beta</x:v>
      </x:c>
      <x:c r="L9" s="20" t="str">
        <x:v>P1</x:v>
      </x:c>
      <x:c r="M9" s="20" t="str">
        <x:v>2026-06-23</x:v>
      </x:c>
      <x:c r="N9" s="20" t="str">
        <x:v>Needs real Windows runtime test.</x:v>
      </x:c>
    </x:row>
    <x:row r="10" ht="58" customHeight="1">
      <x:c r="A10" s="20" t="str">
        <x:v>LOAD-001</x:v>
      </x:c>
      <x:c r="B10" s="20" t="str">
        <x:v>Loading</x:v>
      </x:c>
      <x:c r="C10" s="20" t="str">
        <x:v>Fast first preview</x:v>
      </x:c>
      <x:c r="D10" s="20" t="str">
        <x:v>macOS stable</x:v>
      </x:c>
      <x:c r="E10" s="20" t="str">
        <x:v>As an operator, I see the first slide quickly after adding a deck.</x:v>
      </x:c>
      <x:c r="F10" s="20" t="str">
        <x:v>Static preview becomes renderable as soon as cached/generated PDF opens while notes/media continue in background.</x:v>
      </x:c>
      <x:c r="G10" s="20" t="str">
        <x:v>No long blank OBS source before initial slide unless conversion is genuinely running.</x:v>
      </x:c>
      <x:c r="H10" s="20" t="str">
        <x:v>README.md#What It Solves; v0.5.5 release notes</x:v>
      </x:c>
      <x:c r="I10" s="20" t="str">
        <x:v>PPTX/PDF load timing test</x:v>
      </x:c>
      <x:c r="J10" s="20" t="str">
        <x:v>Verified</x:v>
      </x:c>
      <x:c r="K10" s="20" t="str">
        <x:v>Implemented</x:v>
      </x:c>
      <x:c r="L10" s="20" t="str">
        <x:v>P0</x:v>
      </x:c>
      <x:c r="M10" s="20" t="str">
        <x:v>2026-06-23</x:v>
      </x:c>
      <x:c r="N10" s="20" t="str">
        <x:v>2026-06-23 smoke: large uncached PPTX first preview 7668 ms; same deck cached preview 46 ms; small cached PPTX 47 ms; PDF 56 ms.</x:v>
      </x:c>
    </x:row>
    <x:row r="11" ht="58" customHeight="1">
      <x:c r="A11" s="20" t="str">
        <x:v>LOAD-002</x:v>
      </x:c>
      <x:c r="B11" s="20" t="str">
        <x:v>Loading</x:v>
      </x:c>
      <x:c r="C11" s="20" t="str">
        <x:v>Background notes/media preparation</x:v>
      </x:c>
      <x:c r="D11" s="20" t="str">
        <x:v>macOS stable</x:v>
      </x:c>
      <x:c r="E11" s="20" t="str">
        <x:v>As a presenter, I eventually receive notes and cue titles without delaying the first preview.</x:v>
      </x:c>
      <x:c r="F11" s="20" t="str">
        <x:v>Presenter assets are prepared in background after preview/live mode can show.</x:v>
      </x:c>
      <x:c r="G11" s="20" t="str">
        <x:v>Status can say live ready/preparing presenter and later notes/cues appear.</x:v>
      </x:c>
      <x:c r="H11" s="20" t="str">
        <x:v>source_slide.mm build_status_text; presentation_document.hpp SetPresenterAssetsWanted</x:v>
      </x:c>
      <x:c r="I11" s="20" t="str">
        <x:v>Presenter load timing test</x:v>
      </x:c>
      <x:c r="J11" s="20" t="str">
        <x:v>Needs Manual</x:v>
      </x:c>
      <x:c r="K11" s="20" t="str">
        <x:v>Implemented</x:v>
      </x:c>
      <x:c r="L11" s="20" t="str">
        <x:v>P1</x:v>
      </x:c>
      <x:c r="M11" s="20" t="str">
        <x:v>2026-06-23</x:v>
      </x:c>
      <x:c r="N11" s="20" t="str"/>
    </x:row>
    <x:row r="12" ht="58" customHeight="1">
      <x:c r="A12" s="20" t="str">
        <x:v>LOAD-003</x:v>
      </x:c>
      <x:c r="B12" s="20" t="str">
        <x:v>Loading</x:v>
      </x:c>
      <x:c r="C12" s="20" t="str">
        <x:v>Reload presentation</x:v>
      </x:c>
      <x:c r="D12" s="20" t="str">
        <x:v>macOS stable, Windows beta</x:v>
      </x:c>
      <x:c r="E12" s="20" t="str">
        <x:v>As an operator, I can force PPTBridge to reload the selected deck.</x:v>
      </x:c>
      <x:c r="F12" s="20" t="str">
        <x:v>Reload Presentation calls ReloadAsync and refreshes the shared document state.</x:v>
      </x:c>
      <x:c r="G12" s="20" t="str">
        <x:v>Reload button and OSC reload path refresh deck state without restarting OBS.</x:v>
      </x:c>
      <x:c r="H12" s="20" t="str">
        <x:v>source_slide.mm control_reload; pptbridge_osc_server.cpp</x:v>
      </x:c>
      <x:c r="I12" s="20" t="str">
        <x:v>Button + OSC smoke</x:v>
      </x:c>
      <x:c r="J12" s="20" t="str">
        <x:v>Needs Manual</x:v>
      </x:c>
      <x:c r="K12" s="20" t="str">
        <x:v>Implemented</x:v>
      </x:c>
      <x:c r="L12" s="20" t="str">
        <x:v>P1</x:v>
      </x:c>
      <x:c r="M12" s="20" t="str">
        <x:v>2026-06-23</x:v>
      </x:c>
      <x:c r="N12" s="20" t="str"/>
    </x:row>
    <x:row r="13" ht="58" customHeight="1">
      <x:c r="A13" s="20" t="str">
        <x:v>LOAD-004</x:v>
      </x:c>
      <x:c r="B13" s="20" t="str">
        <x:v>Loading</x:v>
      </x:c>
      <x:c r="C13" s="20" t="str">
        <x:v>Missing/invalid file handling</x:v>
      </x:c>
      <x:c r="D13" s="20" t="str">
        <x:v>macOS stable, Windows beta</x:v>
      </x:c>
      <x:c r="E13" s="20" t="str">
        <x:v>As an operator, I get a clear error when the selected file cannot be loaded.</x:v>
      </x:c>
      <x:c r="F13" s="20" t="str">
        <x:v>Last issue/status reports the failure instead of silently showing stale content.</x:v>
      </x:c>
      <x:c r="G13" s="20" t="str">
        <x:v>Properties status shows Last issue and source does not crash.</x:v>
      </x:c>
      <x:c r="H13" s="20" t="str">
        <x:v>source_slide.mm build_status_text; presentation_document.hpp LastError</x:v>
      </x:c>
      <x:c r="I13" s="20" t="str">
        <x:v>Invalid file path test</x:v>
      </x:c>
      <x:c r="J13" s="20" t="str">
        <x:v>Not Run</x:v>
      </x:c>
      <x:c r="K13" s="20" t="str">
        <x:v>Needs Test</x:v>
      </x:c>
      <x:c r="L13" s="20" t="str">
        <x:v>P1</x:v>
      </x:c>
      <x:c r="M13" s="20" t="str">
        <x:v>2026-06-23</x:v>
      </x:c>
      <x:c r="N13" s="20" t="str"/>
    </x:row>
    <x:row r="14" ht="58" customHeight="1">
      <x:c r="A14" s="20" t="str">
        <x:v>CACHE-001</x:v>
      </x:c>
      <x:c r="B14" s="20" t="str">
        <x:v>Cache</x:v>
      </x:c>
      <x:c r="C14" s="20" t="str">
        <x:v>PPTX-to-PDF cache validation</x:v>
      </x:c>
      <x:c r="D14" s="20" t="str">
        <x:v>macOS stable</x:v>
      </x:c>
      <x:c r="E14" s="20" t="str">
        <x:v>As an operator, unchanged decks should reload faster from cache.</x:v>
      </x:c>
      <x:c r="F14" s="20" t="str">
        <x:v>Cache is reused when newer/current against deck modification time; edited decks reconvert.</x:v>
      </x:c>
      <x:c r="G14" s="20" t="str">
        <x:v>Opening unchanged PPTX avoids unnecessary conversion; editing PPTX invalidates cache.</x:v>
      </x:c>
      <x:c r="H14" s="20" t="str">
        <x:v>README.md release notes; presentation_document.mm cache path</x:v>
      </x:c>
      <x:c r="I14" s="20" t="str">
        <x:v>Timestamp/cache test</x:v>
      </x:c>
      <x:c r="J14" s="20" t="str">
        <x:v>Verified</x:v>
      </x:c>
      <x:c r="K14" s="20" t="str">
        <x:v>Implemented</x:v>
      </x:c>
      <x:c r="L14" s="20" t="str">
        <x:v>P0</x:v>
      </x:c>
      <x:c r="M14" s="20" t="str">
        <x:v>2026-06-23</x:v>
      </x:c>
      <x:c r="N14" s="20" t="str">
        <x:v>2026-06-23 large PPTX reload reused cached PDF: PDF prep 0 ms, first preview 46 ms, full load 239 ms.</x:v>
      </x:c>
    </x:row>
    <x:row r="15" ht="58" customHeight="1">
      <x:c r="A15" s="20" t="str">
        <x:v>LIVE-001</x:v>
      </x:c>
      <x:c r="B15" s="20" t="str">
        <x:v>PowerPoint Live</x:v>
      </x:c>
      <x:c r="C15" s="20" t="str">
        <x:v>Manual Start Live Mode</x:v>
      </x:c>
      <x:c r="D15" s="20" t="str">
        <x:v>macOS stable</x:v>
      </x:c>
      <x:c r="E15" s="20" t="str">
        <x:v>As an operator, I can click Start / Restart PowerPoint Live Mode when I am ready.</x:v>
      </x:c>
      <x:c r="F15" s="20" t="str">
        <x:v>PowerPoint opens if needed and starts the slideshow on demand, not automatically by default.</x:v>
      </x:c>
      <x:c r="G15" s="20" t="str">
        <x:v>Clicking start produces a live slideshow capture for PPTX deck.</x:v>
      </x:c>
      <x:c r="H15" s="20" t="str">
        <x:v>source_slide.mm control_start_live; README.md#PowerPoint Live Controls</x:v>
      </x:c>
      <x:c r="I15" s="20" t="str">
        <x:v>live_powerpoint_smoke + OBS manual</x:v>
      </x:c>
      <x:c r="J15" s="20" t="str">
        <x:v>Verified</x:v>
      </x:c>
      <x:c r="K15" s="20" t="str">
        <x:v>Implemented</x:v>
      </x:c>
      <x:c r="L15" s="20" t="str">
        <x:v>P0</x:v>
      </x:c>
      <x:c r="M15" s="20" t="str">
        <x:v>2026-06-23</x:v>
      </x:c>
      <x:c r="N15" s="20" t="str">
        <x:v>2026-06-23 final smoke: original Desktop PPTX started live mode, advanced to slide 2, and stopped slideshow.</x:v>
      </x:c>
    </x:row>
    <x:row r="16" ht="58" customHeight="1">
      <x:c r="A16" s="20" t="str">
        <x:v>LIVE-002</x:v>
      </x:c>
      <x:c r="B16" s="20" t="str">
        <x:v>PowerPoint Live</x:v>
      </x:c>
      <x:c r="C16" s="20" t="str">
        <x:v>Start during background preparation</x:v>
      </x:c>
      <x:c r="D16" s="20" t="str">
        <x:v>macOS stable</x:v>
      </x:c>
      <x:c r="E16" s="20" t="str">
        <x:v>As an operator, I can click Start soon after preview appears even if presenter assets are still loading.</x:v>
      </x:c>
      <x:c r="F16" s="20" t="str">
        <x:v>Start command does not get lost while notes/media are preparing.</x:v>
      </x:c>
      <x:c r="G16" s="20" t="str">
        <x:v>Immediate start after first preview starts live mode successfully.</x:v>
      </x:c>
      <x:c r="H16" s="20" t="str">
        <x:v>v0.5.6 release notes; native-plugin/tests/live_powerpoint_smoke.mm</x:v>
      </x:c>
      <x:c r="I16" s="20" t="str">
        <x:v>Live smoke test</x:v>
      </x:c>
      <x:c r="J16" s="20" t="str">
        <x:v>Verified</x:v>
      </x:c>
      <x:c r="K16" s="20" t="str">
        <x:v>Implemented</x:v>
      </x:c>
      <x:c r="L16" s="20" t="str">
        <x:v>P0</x:v>
      </x:c>
      <x:c r="M16" s="20" t="str">
        <x:v>2026-06-23</x:v>
      </x:c>
      <x:c r="N16" s="20" t="str">
        <x:v>2026-06-23 smoke covered both immediate StartLivePowerPointAsync and preview-first manual start.</x:v>
      </x:c>
    </x:row>
    <x:row r="17" ht="58" customHeight="1">
      <x:c r="A17" s="20" t="str">
        <x:v>LIVE-003</x:v>
      </x:c>
      <x:c r="B17" s="20" t="str">
        <x:v>PowerPoint Live</x:v>
      </x:c>
      <x:c r="C17" s="20" t="str">
        <x:v>Stop Live Mode</x:v>
      </x:c>
      <x:c r="D17" s="20" t="str">
        <x:v>macOS stable</x:v>
      </x:c>
      <x:c r="E17" s="20" t="str">
        <x:v>As an operator, I can stop the slideshow without quitting OBS.</x:v>
      </x:c>
      <x:c r="F17" s="20" t="str">
        <x:v>Stop clears live capture/audio state and stops PowerPoint slideshow asynchronously from properties.</x:v>
      </x:c>
      <x:c r="G17" s="20" t="str">
        <x:v>Stop button ends live show and leaves OBS responsive.</x:v>
      </x:c>
      <x:c r="H17" s="20" t="str">
        <x:v>source_slide.mm control_stop_live; presentation_document.hpp StopLivePowerPointAsync</x:v>
      </x:c>
      <x:c r="I17" s="20" t="str">
        <x:v>OBS manual live test</x:v>
      </x:c>
      <x:c r="J17" s="20" t="str">
        <x:v>Verified</x:v>
      </x:c>
      <x:c r="K17" s="20" t="str">
        <x:v>Implemented</x:v>
      </x:c>
      <x:c r="L17" s="20" t="str">
        <x:v>P0</x:v>
      </x:c>
      <x:c r="M17" s="20" t="str">
        <x:v>2026-06-23</x:v>
      </x:c>
      <x:c r="N17" s="20" t="str"/>
    </x:row>
    <x:row r="18" ht="58" customHeight="1">
      <x:c r="A18" s="20" t="str">
        <x:v>LIVE-004</x:v>
      </x:c>
      <x:c r="B18" s="20" t="str">
        <x:v>PowerPoint Live</x:v>
      </x:c>
      <x:c r="C18" s="20" t="str">
        <x:v>Auto-start option</x:v>
      </x:c>
      <x:c r="D18" s="20" t="str">
        <x:v>macOS stable</x:v>
      </x:c>
      <x:c r="E18" s="20" t="str">
        <x:v>As an operator, I can opt into PowerPoint starting when OBS opens.</x:v>
      </x:c>
      <x:c r="F18" s="20" t="str">
        <x:v>Auto Start PowerPoint When OBS Opens is off by default and starts live mode only when enabled.</x:v>
      </x:c>
      <x:c r="G18" s="20" t="str">
        <x:v>Default is false; enabling auto-start triggers live startup during load.</x:v>
      </x:c>
      <x:c r="H18" s="20" t="str">
        <x:v>source_slide.mm source_defaults/source_update</x:v>
      </x:c>
      <x:c r="I18" s="20" t="str">
        <x:v>OBS settings persistence test</x:v>
      </x:c>
      <x:c r="J18" s="20" t="str">
        <x:v>Not Run</x:v>
      </x:c>
      <x:c r="K18" s="20" t="str">
        <x:v>Implemented</x:v>
      </x:c>
      <x:c r="L18" s="20" t="str">
        <x:v>P1</x:v>
      </x:c>
      <x:c r="M18" s="20" t="str">
        <x:v>2026-06-23</x:v>
      </x:c>
      <x:c r="N18" s="20" t="str"/>
    </x:row>
    <x:row r="19" ht="58" customHeight="1">
      <x:c r="A19" s="20" t="str">
        <x:v>LIVE-005</x:v>
      </x:c>
      <x:c r="B19" s="20" t="str">
        <x:v>PowerPoint Live</x:v>
      </x:c>
      <x:c r="C19" s="20" t="str">
        <x:v>Close slideshow on OBS shutdown</x:v>
      </x:c>
      <x:c r="D19" s="20" t="str">
        <x:v>macOS stable</x:v>
      </x:c>
      <x:c r="E19" s="20" t="str">
        <x:v>As an operator, I can choose whether OBS closes the slideshow when it exits.</x:v>
      </x:c>
      <x:c r="F19" s="20" t="str">
        <x:v>Close PowerPoint Slideshow When OBS Closes defaults on and stops owned live sessions when last slide source detaches.</x:v>
      </x:c>
      <x:c r="G19" s="20" t="str">
        <x:v>OBS shutdown/source destroy stops only owned session when setting enabled.</x:v>
      </x:c>
      <x:c r="H19" s="20" t="str">
        <x:v>source_slide.mm source_destroy</x:v>
      </x:c>
      <x:c r="I19" s="20" t="str">
        <x:v>OBS quit/manual teardown test</x:v>
      </x:c>
      <x:c r="J19" s="20" t="str">
        <x:v>Not Run</x:v>
      </x:c>
      <x:c r="K19" s="20" t="str">
        <x:v>Implemented</x:v>
      </x:c>
      <x:c r="L19" s="20" t="str">
        <x:v>P1</x:v>
      </x:c>
      <x:c r="M19" s="20" t="str">
        <x:v>2026-06-23</x:v>
      </x:c>
      <x:c r="N19" s="20" t="str"/>
    </x:row>
    <x:row r="20" ht="58" customHeight="1">
      <x:c r="A20" s="20" t="str">
        <x:v>LIVE-006</x:v>
      </x:c>
      <x:c r="B20" s="20" t="str">
        <x:v>PowerPoint Live</x:v>
      </x:c>
      <x:c r="C20" s="20" t="str">
        <x:v>Recover/restart after slideshow window closed</x:v>
      </x:c>
      <x:c r="D20" s="20" t="str">
        <x:v>macOS stable</x:v>
      </x:c>
      <x:c r="E20" s="20" t="str">
        <x:v>As an operator, I can recover if the slideshow window was closed but PowerPoint remains open.</x:v>
      </x:c>
      <x:c r="F20" s="20" t="str">
        <x:v>Start / Restart clears stale capture and starts or reattaches the live session.</x:v>
      </x:c>
      <x:c r="G20" s="20" t="str">
        <x:v>Closing live window then pressing Start / Restart recovers output.</x:v>
      </x:c>
      <x:c r="H20" s="20" t="str">
        <x:v>source_slide.mm control_start_live; source_tick watchdog</x:v>
      </x:c>
      <x:c r="I20" s="20" t="str">
        <x:v>OBS manual recovery test</x:v>
      </x:c>
      <x:c r="J20" s="20" t="str">
        <x:v>Needs Manual</x:v>
      </x:c>
      <x:c r="K20" s="20" t="str">
        <x:v>Implemented</x:v>
      </x:c>
      <x:c r="L20" s="20" t="str">
        <x:v>P0</x:v>
      </x:c>
      <x:c r="M20" s="20" t="str">
        <x:v>2026-06-23</x:v>
      </x:c>
      <x:c r="N20" s="20" t="str"/>
    </x:row>
    <x:row r="21" ht="58" customHeight="1">
      <x:c r="A21" s="20" t="str">
        <x:v>LIVE-007</x:v>
      </x:c>
      <x:c r="B21" s="20" t="str">
        <x:v>PowerPoint Live</x:v>
      </x:c>
      <x:c r="C21" s="20" t="str">
        <x:v>Final-slide protection</x:v>
      </x:c>
      <x:c r="D21" s="20" t="str">
        <x:v>macOS stable</x:v>
      </x:c>
      <x:c r="E21" s="20" t="str">
        <x:v>As a show operator, extra next commands on the last slide should not drop out of OBS.</x:v>
      </x:c>
      <x:c r="F21" s="20" t="str">
        <x:v>Next at the end does not exit live slideshow unexpectedly.</x:v>
      </x:c>
      <x:c r="G21" s="20" t="str">
        <x:v>Repeated next on final slide keeps program capture stable.</x:v>
      </x:c>
      <x:c r="H21" s="20" t="str">
        <x:v>README.md#PowerPoint Live Controls; presentation_document.mm live navigation</x:v>
      </x:c>
      <x:c r="I21" s="20" t="str">
        <x:v>Live final-slide test</x:v>
      </x:c>
      <x:c r="J21" s="20" t="str">
        <x:v>Needs Manual</x:v>
      </x:c>
      <x:c r="K21" s="20" t="str">
        <x:v>Implemented</x:v>
      </x:c>
      <x:c r="L21" s="20" t="str">
        <x:v>P0</x:v>
      </x:c>
      <x:c r="M21" s="20" t="str">
        <x:v>2026-06-23</x:v>
      </x:c>
      <x:c r="N21" s="20" t="str"/>
    </x:row>
    <x:row r="22" ht="58" customHeight="1">
      <x:c r="A22" s="20" t="str">
        <x:v>LIVE-008</x:v>
      </x:c>
      <x:c r="B22" s="20" t="str">
        <x:v>PowerPoint Live</x:v>
      </x:c>
      <x:c r="C22" s="20" t="str">
        <x:v>PDF decks hide live controls</x:v>
      </x:c>
      <x:c r="D22" s="20" t="str">
        <x:v>macOS stable</x:v>
      </x:c>
      <x:c r="E22" s="20" t="str">
        <x:v>As a PDF user, I should not see irrelevant PowerPoint live controls.</x:v>
      </x:c>
      <x:c r="F22" s="20" t="str">
        <x:v>PowerPoint Live Mode controls are hidden and an explanatory PDF note appears.</x:v>
      </x:c>
      <x:c r="G22" s="20" t="str">
        <x:v>Selecting PDF shows PDF note and no live start/stop controls.</x:v>
      </x:c>
      <x:c r="H22" s="20" t="str">
        <x:v>source_slide.mm source_properties; README.md</x:v>
      </x:c>
      <x:c r="I22" s="20" t="str">
        <x:v>OBS properties test</x:v>
      </x:c>
      <x:c r="J22" s="20" t="str">
        <x:v>Verified</x:v>
      </x:c>
      <x:c r="K22" s="20" t="str">
        <x:v>Implemented</x:v>
      </x:c>
      <x:c r="L22" s="20" t="str">
        <x:v>P1</x:v>
      </x:c>
      <x:c r="M22" s="20" t="str">
        <x:v>2026-06-23</x:v>
      </x:c>
      <x:c r="N22" s="20" t="str">
        <x:v>v0.5.6 change; verify visually again.</x:v>
      </x:c>
    </x:row>
    <x:row r="23" ht="58" customHeight="1">
      <x:c r="A23" s="20" t="str">
        <x:v>LIVE-009</x:v>
      </x:c>
      <x:c r="B23" s="20" t="str">
        <x:v>PowerPoint Live</x:v>
      </x:c>
      <x:c r="C23" s="20" t="str">
        <x:v>Original deck path first, staged fallback second</x:v>
      </x:c>
      <x:c r="D23" s="20" t="str">
        <x:v>macOS stable</x:v>
      </x:c>
      <x:c r="E23" s="20" t="str">
        <x:v>As an operator, PowerPoint should start the same deck I selected in OBS instead of depending on fragile temp staging.</x:v>
      </x:c>
      <x:c r="F23" s="20" t="str">
        <x:v>Live mode opens the user-selected original deck path first; staged copy is kept only as a fallback.</x:v>
      </x:c>
      <x:c r="G23" s="20" t="str">
        <x:v>Start live mode succeeds from the original Desktop deck path and does not require temp/hidden staging.</x:v>
      </x:c>
      <x:c r="H23" s="20" t="str">
        <x:v>presentation_document.mm StartPowerPointLiveSession</x:v>
      </x:c>
      <x:c r="I23" s="20" t="str">
        <x:v>Live smoke + AppleScript reproduction</x:v>
      </x:c>
      <x:c r="J23" s="20" t="str">
        <x:v>Verified</x:v>
      </x:c>
      <x:c r="K23" s="20" t="str">
        <x:v>Implemented</x:v>
      </x:c>
      <x:c r="L23" s="20" t="str">
        <x:v>P0</x:v>
      </x:c>
      <x:c r="M23" s="20" t="str">
        <x:v>2026-06-23</x:v>
      </x:c>
      <x:c r="N23" s="20" t="str">
        <x:v>2026-06-23 temp and hidden sidecar staging reproduced PowerPoint hangs; final code uses original path first and passed live_start/live_powerpoint smokes on the original Desktop PPTX.</x:v>
      </x:c>
    </x:row>
    <x:row r="24" ht="58" customHeight="1">
      <x:c r="A24" s="20" t="str">
        <x:v>RESIZE-001</x:v>
      </x:c>
      <x:c r="B24" s="20" t="str">
        <x:v>Live Capture</x:v>
      </x:c>
      <x:c r="C24" s="20" t="str">
        <x:v>Lock OBS output size against PPT window resize</x:v>
      </x:c>
      <x:c r="D24" s="20" t="str">
        <x:v>macOS stable</x:v>
      </x:c>
      <x:c r="E24" s="20" t="str">
        <x:v>As an operator, I can shrink the desktop PowerPoint window without shrinking OBS output.</x:v>
      </x:c>
      <x:c r="F24" s="20" t="str">
        <x:v>Default live resize behavior is Lock OBS Output Size.</x:v>
      </x:c>
      <x:c r="G24" s="20" t="str">
        <x:v>Resizing PowerPoint desktop window does not change source size in OBS.</x:v>
      </x:c>
      <x:c r="H24" s="20" t="str">
        <x:v>source_slide.mm live_capture_resize_mode default; README.md</x:v>
      </x:c>
      <x:c r="I24" s="20" t="str">
        <x:v>Manual resize test</x:v>
      </x:c>
      <x:c r="J24" s="20" t="str">
        <x:v>Needs Manual</x:v>
      </x:c>
      <x:c r="K24" s="20" t="str">
        <x:v>Implemented</x:v>
      </x:c>
      <x:c r="L24" s="20" t="str">
        <x:v>P0</x:v>
      </x:c>
      <x:c r="M24" s="20" t="str">
        <x:v>2026-06-23</x:v>
      </x:c>
      <x:c r="N24" s="20" t="str"/>
    </x:row>
    <x:row r="25" ht="58" customHeight="1">
      <x:c r="A25" s="20" t="str">
        <x:v>RESIZE-002</x:v>
      </x:c>
      <x:c r="B25" s="20" t="str">
        <x:v>Live Capture</x:v>
      </x:c>
      <x:c r="C25" s="20" t="str">
        <x:v>Follow current PPT window size</x:v>
      </x:c>
      <x:c r="D25" s="20" t="str">
        <x:v>macOS stable</x:v>
      </x:c>
      <x:c r="E25" s="20" t="str">
        <x:v>As an operator, I can intentionally make OBS follow the PowerPoint window shape.</x:v>
      </x:c>
      <x:c r="F25" s="20" t="str">
        <x:v>Follow PowerPoint Window Size mode updates capture sizing based on current slideshow window.</x:v>
      </x:c>
      <x:c r="G25" s="20" t="str">
        <x:v>Changing mode to follow makes source reflect PPT window size.</x:v>
      </x:c>
      <x:c r="H25" s="20" t="str">
        <x:v>source_slide.mm live_capture_resize_mode; control_follow_live_resize</x:v>
      </x:c>
      <x:c r="I25" s="20" t="str">
        <x:v>Manual resize test</x:v>
      </x:c>
      <x:c r="J25" s="20" t="str">
        <x:v>Not Run</x:v>
      </x:c>
      <x:c r="K25" s="20" t="str">
        <x:v>Implemented</x:v>
      </x:c>
      <x:c r="L25" s="20" t="str">
        <x:v>P2</x:v>
      </x:c>
      <x:c r="M25" s="20" t="str">
        <x:v>2026-06-23</x:v>
      </x:c>
      <x:c r="N25" s="20" t="str"/>
    </x:row>
    <x:row r="26" ht="58" customHeight="1">
      <x:c r="A26" s="20" t="str">
        <x:v>RESIZE-003</x:v>
      </x:c>
      <x:c r="B26" s="20" t="str">
        <x:v>Live Capture</x:v>
      </x:c>
      <x:c r="C26" s="20" t="str">
        <x:v>Reattach live window button</x:v>
      </x:c>
      <x:c r="D26" s="20" t="str">
        <x:v>macOS stable</x:v>
      </x:c>
      <x:c r="E26" s="20" t="str">
        <x:v>As an operator, I can force PPTBridge to search again for the live slideshow window.</x:v>
      </x:c>
      <x:c r="F26" s="20" t="str">
        <x:v>Reattach clears old capture/audio source and calls SyncLiveStateAsync.</x:v>
      </x:c>
      <x:c r="G26" s="20" t="str">
        <x:v>Reattach button restores capture when PowerPoint window is still available.</x:v>
      </x:c>
      <x:c r="H26" s="20" t="str">
        <x:v>source_slide.mm control_reattach_live</x:v>
      </x:c>
      <x:c r="I26" s="20" t="str">
        <x:v>Manual live recovery test</x:v>
      </x:c>
      <x:c r="J26" s="20" t="str">
        <x:v>Not Run</x:v>
      </x:c>
      <x:c r="K26" s="20" t="str">
        <x:v>Implemented</x:v>
      </x:c>
      <x:c r="L26" s="20" t="str">
        <x:v>P1</x:v>
      </x:c>
      <x:c r="M26" s="20" t="str">
        <x:v>2026-06-23</x:v>
      </x:c>
      <x:c r="N26" s="20" t="str"/>
    </x:row>
    <x:row r="27" ht="58" customHeight="1">
      <x:c r="A27" s="20" t="str">
        <x:v>NAV-001</x:v>
      </x:c>
      <x:c r="B27" s="20" t="str">
        <x:v>Slide Control</x:v>
      </x:c>
      <x:c r="C27" s="20" t="str">
        <x:v>Next/Previous source buttons</x:v>
      </x:c>
      <x:c r="D27" s="20" t="str">
        <x:v>macOS stable, Windows beta</x:v>
      </x:c>
      <x:c r="E27" s="20" t="str">
        <x:v>As an operator, I can move slides from source properties.</x:v>
      </x:c>
      <x:c r="F27" s="20" t="str">
        <x:v>Previous Slide and Next Slide buttons change the shared document/current slide.</x:v>
      </x:c>
      <x:c r="G27" s="20" t="str">
        <x:v>Buttons move PPTX/PDF deck and update slide status.</x:v>
      </x:c>
      <x:c r="H27" s="20" t="str">
        <x:v>source_slide.mm control_previous/control_next</x:v>
      </x:c>
      <x:c r="I27" s="20" t="str">
        <x:v>OBS property button test</x:v>
      </x:c>
      <x:c r="J27" s="20" t="str">
        <x:v>Needs Manual</x:v>
      </x:c>
      <x:c r="K27" s="20" t="str">
        <x:v>Implemented</x:v>
      </x:c>
      <x:c r="L27" s="20" t="str">
        <x:v>P0</x:v>
      </x:c>
      <x:c r="M27" s="20" t="str">
        <x:v>2026-06-23</x:v>
      </x:c>
      <x:c r="N27" s="20" t="str"/>
    </x:row>
    <x:row r="28" ht="58" customHeight="1">
      <x:c r="A28" s="20" t="str">
        <x:v>NAV-002</x:v>
      </x:c>
      <x:c r="B28" s="20" t="str">
        <x:v>Slide Control</x:v>
      </x:c>
      <x:c r="C28" s="20" t="str">
        <x:v>First/Last source buttons</x:v>
      </x:c>
      <x:c r="D28" s="20" t="str">
        <x:v>macOS stable, Windows beta</x:v>
      </x:c>
      <x:c r="E28" s="20" t="str">
        <x:v>As an operator, I can jump to first or last slide.</x:v>
      </x:c>
      <x:c r="F28" s="20" t="str">
        <x:v>First Slide and Last Slide buttons update document index safely.</x:v>
      </x:c>
      <x:c r="G28" s="20" t="str">
        <x:v>Buttons jump to correct slide without crashing at boundaries.</x:v>
      </x:c>
      <x:c r="H28" s="20" t="str">
        <x:v>source_slide.mm control_first/control_last</x:v>
      </x:c>
      <x:c r="I28" s="20" t="str">
        <x:v>OBS property button test</x:v>
      </x:c>
      <x:c r="J28" s="20" t="str">
        <x:v>Not Run</x:v>
      </x:c>
      <x:c r="K28" s="20" t="str">
        <x:v>Implemented</x:v>
      </x:c>
      <x:c r="L28" s="20" t="str">
        <x:v>P1</x:v>
      </x:c>
      <x:c r="M28" s="20" t="str">
        <x:v>2026-06-23</x:v>
      </x:c>
      <x:c r="N28" s="20" t="str"/>
    </x:row>
    <x:row r="29" ht="58" customHeight="1">
      <x:c r="A29" s="20" t="str">
        <x:v>NAV-003</x:v>
      </x:c>
      <x:c r="B29" s="20" t="str">
        <x:v>Slide Control</x:v>
      </x:c>
      <x:c r="C29" s="20" t="str">
        <x:v>Toggle black screen</x:v>
      </x:c>
      <x:c r="D29" s="20" t="str">
        <x:v>macOS stable, Windows beta</x:v>
      </x:c>
      <x:c r="E29" s="20" t="str">
        <x:v>As an operator, I can temporarily black out the slide output.</x:v>
      </x:c>
      <x:c r="F29" s="20" t="str">
        <x:v>Toggle Black Screen toggles black_screen state and rendering/status reflect it.</x:v>
      </x:c>
      <x:c r="G29" s="20" t="str">
        <x:v>Button and OSC path black/blank toggle black screen and status.</x:v>
      </x:c>
      <x:c r="H29" s="20" t="str">
        <x:v>source_slide.mm control_black; pptbridge_osc_server.cpp</x:v>
      </x:c>
      <x:c r="I29" s="20" t="str">
        <x:v>Button + OSC smoke</x:v>
      </x:c>
      <x:c r="J29" s="20" t="str">
        <x:v>Not Run</x:v>
      </x:c>
      <x:c r="K29" s="20" t="str">
        <x:v>Implemented</x:v>
      </x:c>
      <x:c r="L29" s="20" t="str">
        <x:v>P1</x:v>
      </x:c>
      <x:c r="M29" s="20" t="str">
        <x:v>2026-06-23</x:v>
      </x:c>
      <x:c r="N29" s="20" t="str"/>
    </x:row>
    <x:row r="30" ht="58" customHeight="1">
      <x:c r="A30" s="20" t="str">
        <x:v>HOTKEY-001</x:v>
      </x:c>
      <x:c r="B30" s="20" t="str">
        <x:v>Hotkeys</x:v>
      </x:c>
      <x:c r="C30" s="20" t="str">
        <x:v>Default OBS-focused hotkeys</x:v>
      </x:c>
      <x:c r="D30" s="20" t="str">
        <x:v>macOS stable, Windows beta</x:v>
      </x:c>
      <x:c r="E30" s="20" t="str">
        <x:v>As an operator, I get safe first-launch defaults for slide control.</x:v>
      </x:c>
      <x:c r="F30" s="20" t="str">
        <x:v>Next defaults to 2 and Previous defaults to 1; arrows are not defaults.</x:v>
      </x:c>
      <x:c r="G30" s="20" t="str">
        <x:v>Fresh settings show 2/1 defaults only.</x:v>
      </x:c>
      <x:c r="H30" s="20" t="str">
        <x:v>plugin-main.mm apply_default_hotkeys_if_needed</x:v>
      </x:c>
      <x:c r="I30" s="20" t="str">
        <x:v>OBS hotkey settings inspection</x:v>
      </x:c>
      <x:c r="J30" s="20" t="str">
        <x:v>Needs Manual</x:v>
      </x:c>
      <x:c r="K30" s="20" t="str">
        <x:v>Implemented</x:v>
      </x:c>
      <x:c r="L30" s="20" t="str">
        <x:v>P0</x:v>
      </x:c>
      <x:c r="M30" s="20" t="str">
        <x:v>2026-06-23</x:v>
      </x:c>
      <x:c r="N30" s="20" t="str"/>
    </x:row>
    <x:row r="31" ht="58" customHeight="1">
      <x:c r="A31" s="20" t="str">
        <x:v>HOTKEY-002</x:v>
      </x:c>
      <x:c r="B31" s="20" t="str">
        <x:v>Hotkeys</x:v>
      </x:c>
      <x:c r="C31" s="20" t="str">
        <x:v>User-custom OBS hotkeys</x:v>
      </x:c>
      <x:c r="D31" s="20" t="str">
        <x:v>macOS stable, Windows beta</x:v>
      </x:c>
      <x:c r="E31" s="20" t="str">
        <x:v>As an operator, I can choose my own OBS hotkeys.</x:v>
      </x:c>
      <x:c r="F31" s="20" t="str">
        <x:v>Registered OBS hotkeys call the router while OBS is active.</x:v>
      </x:c>
      <x:c r="G31" s="20" t="str">
        <x:v>Custom hotkey moves current Program scene deck only when OBS is focused.</x:v>
      </x:c>
      <x:c r="H31" s="20" t="str">
        <x:v>plugin-main.mm obs_hotkey_register_frontend/hotkey_router</x:v>
      </x:c>
      <x:c r="I31" s="20" t="str">
        <x:v>OBS hotkey manual test</x:v>
      </x:c>
      <x:c r="J31" s="20" t="str">
        <x:v>Not Run</x:v>
      </x:c>
      <x:c r="K31" s="20" t="str">
        <x:v>Implemented</x:v>
      </x:c>
      <x:c r="L31" s="20" t="str">
        <x:v>P1</x:v>
      </x:c>
      <x:c r="M31" s="20" t="str">
        <x:v>2026-06-23</x:v>
      </x:c>
      <x:c r="N31" s="20" t="str"/>
    </x:row>
    <x:row r="32" ht="58" customHeight="1">
      <x:c r="A32" s="20" t="str">
        <x:v>HOTKEY-003</x:v>
      </x:c>
      <x:c r="B32" s="20" t="str">
        <x:v>Hotkeys</x:v>
      </x:c>
      <x:c r="C32" s="20" t="str">
        <x:v>Ignore normal hotkeys outside OBS</x:v>
      </x:c>
      <x:c r="D32" s="20" t="str">
        <x:v>macOS stable, Windows beta</x:v>
      </x:c>
      <x:c r="E32" s="20" t="str">
        <x:v>As an operator, typing in another app should not change slides.</x:v>
      </x:c>
      <x:c r="F32" s="20" t="str">
        <x:v>Normal OBS hotkey callback returns unless OBS is active.</x:v>
      </x:c>
      <x:c r="G32" s="20" t="str">
        <x:v>Pressing 1/2 in Chrome/text editor does not move slides unless clicker capture is enabled for supported keys.</x:v>
      </x:c>
      <x:c r="H32" s="20" t="str">
        <x:v>plugin-main.mm obs_application_is_active/hotkey_router</x:v>
      </x:c>
      <x:c r="I32" s="20" t="str">
        <x:v>Focus-switch keyboard test</x:v>
      </x:c>
      <x:c r="J32" s="20" t="str">
        <x:v>Needs Manual</x:v>
      </x:c>
      <x:c r="K32" s="20" t="str">
        <x:v>Implemented</x:v>
      </x:c>
      <x:c r="L32" s="20" t="str">
        <x:v>P0</x:v>
      </x:c>
      <x:c r="M32" s="20" t="str">
        <x:v>2026-06-23</x:v>
      </x:c>
      <x:c r="N32" s="20" t="str"/>
    </x:row>
    <x:row r="33" ht="58" customHeight="1">
      <x:c r="A33" s="20" t="str">
        <x:v>HOTKEY-004</x:v>
      </x:c>
      <x:c r="B33" s="20" t="str">
        <x:v>Hotkeys</x:v>
      </x:c>
      <x:c r="C33" s="20" t="str">
        <x:v>Left/right arrows remain free</x:v>
      </x:c>
      <x:c r="D33" s="20" t="str">
        <x:v>macOS stable, Windows beta</x:v>
      </x:c>
      <x:c r="E33" s="20" t="str">
        <x:v>As an operator, left/right arrows should still work in OBS and other apps.</x:v>
      </x:c>
      <x:c r="F33" s="20" t="str">
        <x:v>Default and global clicker capture do not swallow plain left/right arrows.</x:v>
      </x:c>
      <x:c r="G33" s="20" t="str">
        <x:v>Left/right arrows navigate UI/text normally while OBS is open.</x:v>
      </x:c>
      <x:c r="H33" s="20" t="str">
        <x:v>plugin-main.mm migrate defaults + is_plain_typing_key_for_clicker</x:v>
      </x:c>
      <x:c r="I33" s="20" t="str">
        <x:v>OBS UI keyboard test</x:v>
      </x:c>
      <x:c r="J33" s="20" t="str">
        <x:v>Needs Manual</x:v>
      </x:c>
      <x:c r="K33" s="20" t="str">
        <x:v>Implemented</x:v>
      </x:c>
      <x:c r="L33" s="20" t="str">
        <x:v>P0</x:v>
      </x:c>
      <x:c r="M33" s="20" t="str">
        <x:v>2026-06-23</x:v>
      </x:c>
      <x:c r="N33" s="20" t="str">
        <x:v>Code/config check passes: OBS profile has only 2/1 PPTBridge hotkeys and clicker filter excludes plain arrows. Automated GUI harness could not acquire normal frontmost focus from Codex, so hands-on UI test is still required.</x:v>
      </x:c>
    </x:row>
    <x:row r="34" ht="58" customHeight="1">
      <x:c r="A34" s="20" t="str">
        <x:v>CLICKER-001</x:v>
      </x:c>
      <x:c r="B34" s="20" t="str">
        <x:v>Clicker Capture</x:v>
      </x:c>
      <x:c r="C34" s="20" t="str">
        <x:v>Toggle Spotlight/Clicker Capture</x:v>
      </x:c>
      <x:c r="D34" s="20" t="str">
        <x:v>macOS stable, Windows beta</x:v>
      </x:c>
      <x:c r="E34" s="20" t="str">
        <x:v>As an operator, I can enable or disable global presenter remote capture.</x:v>
      </x:c>
      <x:c r="F34" s="20" t="str">
        <x:v>Tools menu toggles global capture and persists setting.</x:v>
      </x:c>
      <x:c r="G34" s="20" t="str">
        <x:v>Menu item changes enabled state; plugin logs enabled/disabled.</x:v>
      </x:c>
      <x:c r="H34" s="20" t="str">
        <x:v>plugin-main.mm toggle_clicker_capture_menu</x:v>
      </x:c>
      <x:c r="I34" s="20" t="str">
        <x:v>OBS menu + permissions test</x:v>
      </x:c>
      <x:c r="J34" s="20" t="str">
        <x:v>Needs Manual</x:v>
      </x:c>
      <x:c r="K34" s="20" t="str">
        <x:v>Implemented</x:v>
      </x:c>
      <x:c r="L34" s="20" t="str">
        <x:v>P0</x:v>
      </x:c>
      <x:c r="M34" s="20" t="str">
        <x:v>2026-06-23</x:v>
      </x:c>
      <x:c r="N34" s="20" t="str"/>
    </x:row>
    <x:row r="35" ht="58" customHeight="1">
      <x:c r="A35" s="20" t="str">
        <x:v>CLICKER-002</x:v>
      </x:c>
      <x:c r="B35" s="20" t="str">
        <x:v>Clicker Capture</x:v>
      </x:c>
      <x:c r="C35" s="20" t="str">
        <x:v>Default PageDown/PageUp mapping</x:v>
      </x:c>
      <x:c r="D35" s="20" t="str">
        <x:v>macOS stable, Windows beta</x:v>
      </x:c>
      <x:c r="E35" s="20" t="str">
        <x:v>As a presenter, my common clicker can drive slides without OBS focused.</x:v>
      </x:c>
      <x:c r="F35" s="20" t="str">
        <x:v>PageDown routes Next and PageUp routes Previous when capture is enabled.</x:v>
      </x:c>
      <x:c r="G35" s="20" t="str">
        <x:v>With Chrome focused, PageDown/PageUp move Program scene deck.</x:v>
      </x:c>
      <x:c r="H35" s="20" t="str">
        <x:v>plugin-main.mm append_default_clicker_bindings</x:v>
      </x:c>
      <x:c r="I35" s="20" t="str">
        <x:v>Global keyboard/clicker test</x:v>
      </x:c>
      <x:c r="J35" s="20" t="str">
        <x:v>Needs Manual</x:v>
      </x:c>
      <x:c r="K35" s="20" t="str">
        <x:v>Implemented</x:v>
      </x:c>
      <x:c r="L35" s="20" t="str">
        <x:v>P0</x:v>
      </x:c>
      <x:c r="M35" s="20" t="str">
        <x:v>2026-06-23</x:v>
      </x:c>
      <x:c r="N35" s="20" t="str"/>
    </x:row>
    <x:row r="36" ht="58" customHeight="1">
      <x:c r="A36" s="20" t="str">
        <x:v>CLICKER-003</x:v>
      </x:c>
      <x:c r="B36" s="20" t="str">
        <x:v>Clicker Capture</x:v>
      </x:c>
      <x:c r="C36" s="20" t="str">
        <x:v>Suppress captured keys from focused app</x:v>
      </x:c>
      <x:c r="D36" s="20" t="str">
        <x:v>macOS stable, Windows beta</x:v>
      </x:c>
      <x:c r="E36" s="20" t="str">
        <x:v>As an operator, a stage clicker should not also scroll/type in the focused app.</x:v>
      </x:c>
      <x:c r="F36" s="20" t="str">
        <x:v>Captured keydown/keyup are swallowed after routing to PPTBridge.</x:v>
      </x:c>
      <x:c r="G36" s="20" t="str">
        <x:v>Focused app does not receive PageDown/PageUp while capture handles them.</x:v>
      </x:c>
      <x:c r="H36" s="20" t="str">
        <x:v>plugin-main.mm clicker_event_tap_callback / Windows hook</x:v>
      </x:c>
      <x:c r="I36" s="20" t="str">
        <x:v>Global keyboard test</x:v>
      </x:c>
      <x:c r="J36" s="20" t="str">
        <x:v>Not Run</x:v>
      </x:c>
      <x:c r="K36" s="20" t="str">
        <x:v>Implemented</x:v>
      </x:c>
      <x:c r="L36" s="20" t="str">
        <x:v>P1</x:v>
      </x:c>
      <x:c r="M36" s="20" t="str">
        <x:v>2026-06-23</x:v>
      </x:c>
      <x:c r="N36" s="20" t="str"/>
    </x:row>
    <x:row r="37" ht="58" customHeight="1">
      <x:c r="A37" s="20" t="str">
        <x:v>CLICKER-004</x:v>
      </x:c>
      <x:c r="B37" s="20" t="str">
        <x:v>Clicker Capture</x:v>
      </x:c>
      <x:c r="C37" s="20" t="str">
        <x:v>Custom OBS hotkeys captured safely</x:v>
      </x:c>
      <x:c r="D37" s="20" t="str">
        <x:v>macOS stable, Windows beta</x:v>
      </x:c>
      <x:c r="E37" s="20" t="str">
        <x:v>As an operator, supported custom remote keys can be captured globally.</x:v>
      </x:c>
      <x:c r="F37" s="20" t="str">
        <x:v>Capture imports PPTBridge hotkey bindings but filters plain typing keys and arrows.</x:v>
      </x:c>
      <x:c r="G37" s="20" t="str">
        <x:v>Custom non-typing binding works globally; plain text keys remain free.</x:v>
      </x:c>
      <x:c r="H37" s="20" t="str">
        <x:v>plugin-main.mm collect_clicker_bindings_from_obs_hotkeys</x:v>
      </x:c>
      <x:c r="I37" s="20" t="str">
        <x:v>Custom binding test</x:v>
      </x:c>
      <x:c r="J37" s="20" t="str">
        <x:v>Not Run</x:v>
      </x:c>
      <x:c r="K37" s="20" t="str">
        <x:v>Implemented</x:v>
      </x:c>
      <x:c r="L37" s="20" t="str">
        <x:v>P2</x:v>
      </x:c>
      <x:c r="M37" s="20" t="str">
        <x:v>2026-06-23</x:v>
      </x:c>
      <x:c r="N37" s="20" t="str"/>
    </x:row>
    <x:row r="38" ht="58" customHeight="1">
      <x:c r="A38" s="20" t="str">
        <x:v>ROUTE-001</x:v>
      </x:c>
      <x:c r="B38" s="20" t="str">
        <x:v>Multi Deck</x:v>
      </x:c>
      <x:c r="C38" s="20" t="str">
        <x:v>Program-scene routing</x:v>
      </x:c>
      <x:c r="D38" s="20" t="str">
        <x:v>macOS stable, Windows beta</x:v>
      </x:c>
      <x:c r="E38" s="20" t="str">
        <x:v>As an operator with multiple scenes/decks, controls should affect the current Program scene deck.</x:v>
      </x:c>
      <x:c r="F38" s="20" t="str">
        <x:v>Hotkeys, OSC, and clicker resolve PPTBridge sources from obs_frontend_get_current_scene.</x:v>
      </x:c>
      <x:c r="G38" s="20" t="str">
        <x:v>Scene 1 controls deck 1; Scene 2 controls deck 2; Preview scene does not steal control.</x:v>
      </x:c>
      <x:c r="H38" s="20" t="str">
        <x:v>plugin-main.mm resolve_target_documents</x:v>
      </x:c>
      <x:c r="I38" s="20" t="str">
        <x:v>Multi-scene OBS test</x:v>
      </x:c>
      <x:c r="J38" s="20" t="str">
        <x:v>Needs Manual</x:v>
      </x:c>
      <x:c r="K38" s="20" t="str">
        <x:v>Implemented</x:v>
      </x:c>
      <x:c r="L38" s="20" t="str">
        <x:v>P0</x:v>
      </x:c>
      <x:c r="M38" s="20" t="str">
        <x:v>2026-06-23</x:v>
      </x:c>
      <x:c r="N38" s="20" t="str"/>
    </x:row>
    <x:row r="39" ht="58" customHeight="1">
      <x:c r="A39" s="20" t="str">
        <x:v>ROUTE-002</x:v>
      </x:c>
      <x:c r="B39" s="20" t="str">
        <x:v>Multi Deck</x:v>
      </x:c>
      <x:c r="C39" s="20" t="str">
        <x:v>Group scene traversal</x:v>
      </x:c>
      <x:c r="D39" s="20" t="str">
        <x:v>macOS stable, Windows beta</x:v>
      </x:c>
      <x:c r="E39" s="20" t="str">
        <x:v>As an OBS user, I can put PPTBridge sources inside groups and still control them.</x:v>
      </x:c>
      <x:c r="F39" s="20" t="str">
        <x:v>Scene collector recurses into OBS group sources.</x:v>
      </x:c>
      <x:c r="G39" s="20" t="str">
        <x:v>PPTBridge source inside group receives routed commands.</x:v>
      </x:c>
      <x:c r="H39" s="20" t="str">
        <x:v>plugin-main.mm collect_pptbridge_from_item</x:v>
      </x:c>
      <x:c r="I39" s="20" t="str">
        <x:v>Grouped source test</x:v>
      </x:c>
      <x:c r="J39" s="20" t="str">
        <x:v>Not Run</x:v>
      </x:c>
      <x:c r="K39" s="20" t="str">
        <x:v>Implemented</x:v>
      </x:c>
      <x:c r="L39" s="20" t="str">
        <x:v>P2</x:v>
      </x:c>
      <x:c r="M39" s="20" t="str">
        <x:v>2026-06-23</x:v>
      </x:c>
      <x:c r="N39" s="20" t="str"/>
    </x:row>
    <x:row r="40" ht="58" customHeight="1">
      <x:c r="A40" s="20" t="str">
        <x:v>ROUTE-003</x:v>
      </x:c>
      <x:c r="B40" s="20" t="str">
        <x:v>Multi Deck</x:v>
      </x:c>
      <x:c r="C40" s="20" t="str">
        <x:v>macOS fallback active document</x:v>
      </x:c>
      <x:c r="D40" s="20" t="str">
        <x:v>macOS stable</x:v>
      </x:c>
      <x:c r="E40" s="20" t="str">
        <x:v>As a single-deck user, controls still work if no current scene target is found.</x:v>
      </x:c>
      <x:c r="F40" s="20" t="str">
        <x:v>macOS falls back to Registry::Active for backwards compatibility.</x:v>
      </x:c>
      <x:c r="G40" s="20" t="str">
        <x:v>With no program-scene source but active doc set, controls route to fallback.</x:v>
      </x:c>
      <x:c r="H40" s="20" t="str">
        <x:v>plugin-main.mm resolve_target_documents; pptbridge_registry.cpp</x:v>
      </x:c>
      <x:c r="I40" s="20" t="str">
        <x:v>Edge-case manual test</x:v>
      </x:c>
      <x:c r="J40" s="20" t="str">
        <x:v>Not Run</x:v>
      </x:c>
      <x:c r="K40" s="20" t="str">
        <x:v>Implemented</x:v>
      </x:c>
      <x:c r="L40" s="20" t="str">
        <x:v>P3</x:v>
      </x:c>
      <x:c r="M40" s="20" t="str">
        <x:v>2026-06-23</x:v>
      </x:c>
      <x:c r="N40" s="20" t="str">
        <x:v>Windows intentionally requires Program scene.</x:v>
      </x:c>
    </x:row>
    <x:row r="41" ht="58" customHeight="1">
      <x:c r="A41" s="20" t="str">
        <x:v>OSC-001</x:v>
      </x:c>
      <x:c r="B41" s="20" t="str">
        <x:v>OSC Control</x:v>
      </x:c>
      <x:c r="C41" s="20" t="str">
        <x:v>Toggle local OSC listener</x:v>
      </x:c>
      <x:c r="D41" s="20" t="str">
        <x:v>macOS stable, Windows beta</x:v>
      </x:c>
      <x:c r="E41" s="20" t="str">
        <x:v>As a show-control user, I can enable local OSC control from OBS Tools.</x:v>
      </x:c>
      <x:c r="F41" s="20" t="str">
        <x:v>Local OSC listens on 127.0.0.1:57130 when enabled and persists setting.</x:v>
      </x:c>
      <x:c r="G41" s="20" t="str">
        <x:v>Tools menu starts/stops OSC server and logs port binding.</x:v>
      </x:c>
      <x:c r="H41" s="20" t="str">
        <x:v>plugin-main.mm toggle_osc_menu; pptbridge_osc_server.cpp</x:v>
      </x:c>
      <x:c r="I41" s="20" t="str">
        <x:v>OSC socket smoke</x:v>
      </x:c>
      <x:c r="J41" s="20" t="str">
        <x:v>Needs Manual</x:v>
      </x:c>
      <x:c r="K41" s="20" t="str">
        <x:v>Implemented</x:v>
      </x:c>
      <x:c r="L41" s="20" t="str">
        <x:v>P1</x:v>
      </x:c>
      <x:c r="M41" s="20" t="str">
        <x:v>2026-06-23</x:v>
      </x:c>
      <x:c r="N41" s="20" t="str"/>
    </x:row>
    <x:row r="42" ht="58" customHeight="1">
      <x:c r="A42" s="20" t="str">
        <x:v>OSC-002</x:v>
      </x:c>
      <x:c r="B42" s="20" t="str">
        <x:v>OSC Control</x:v>
      </x:c>
      <x:c r="C42" s="20" t="str">
        <x:v>Supported OSC command paths</x:v>
      </x:c>
      <x:c r="D42" s="20" t="str">
        <x:v>macOS stable, Windows beta</x:v>
      </x:c>
      <x:c r="E42" s="20" t="str">
        <x:v>As a Companion/OSC user, I can send standard slide commands.</x:v>
      </x:c>
      <x:c r="F42" s="20" t="str">
        <x:v>OSC accepts /pptbridge/next, /previous, /prev, /first, /last, /black, /blank, /reload.</x:v>
      </x:c>
      <x:c r="G42" s="20" t="str">
        <x:v>Each path routes correct action; unknown paths do nothing.</x:v>
      </x:c>
      <x:c r="H42" s="20" t="str">
        <x:v>pptbridge_osc_server.cpp parse_osc_action</x:v>
      </x:c>
      <x:c r="I42" s="20" t="str">
        <x:v>OSC smoke test</x:v>
      </x:c>
      <x:c r="J42" s="20" t="str">
        <x:v>Needs Manual</x:v>
      </x:c>
      <x:c r="K42" s="20" t="str">
        <x:v>Implemented</x:v>
      </x:c>
      <x:c r="L42" s="20" t="str">
        <x:v>P0</x:v>
      </x:c>
      <x:c r="M42" s="20" t="str">
        <x:v>2026-06-23</x:v>
      </x:c>
      <x:c r="N42" s="20" t="str"/>
    </x:row>
    <x:row r="43" ht="58" customHeight="1">
      <x:c r="A43" s="20" t="str">
        <x:v>OSC-003</x:v>
      </x:c>
      <x:c r="B43" s="20" t="str">
        <x:v>OSC Control</x:v>
      </x:c>
      <x:c r="C43" s="20" t="str">
        <x:v>OSC routes to Program scene</x:v>
      </x:c>
      <x:c r="D43" s="20" t="str">
        <x:v>macOS stable, Windows beta</x:v>
      </x:c>
      <x:c r="E43" s="20" t="str">
        <x:v>As a multi-deck show user, OSC should control the deck currently live in Program.</x:v>
      </x:c>
      <x:c r="F43" s="20" t="str">
        <x:v>OSC action queues to OBS UI thread then resolves Program scene documents.</x:v>
      </x:c>
      <x:c r="G43" s="20" t="str">
        <x:v>Sending OSC while Program scene changes affects only active Program scene deck.</x:v>
      </x:c>
      <x:c r="H43" s="20" t="str">
        <x:v>plugin-main.mm queued_osc_action_task/resolve_target_documents</x:v>
      </x:c>
      <x:c r="I43" s="20" t="str">
        <x:v>Multi-scene OSC test</x:v>
      </x:c>
      <x:c r="J43" s="20" t="str">
        <x:v>Needs Manual</x:v>
      </x:c>
      <x:c r="K43" s="20" t="str">
        <x:v>Implemented</x:v>
      </x:c>
      <x:c r="L43" s="20" t="str">
        <x:v>P0</x:v>
      </x:c>
      <x:c r="M43" s="20" t="str">
        <x:v>2026-06-23</x:v>
      </x:c>
      <x:c r="N43" s="20" t="str"/>
    </x:row>
    <x:row r="44" ht="58" customHeight="1">
      <x:c r="A44" s="20" t="str">
        <x:v>OSCFB-001</x:v>
      </x:c>
      <x:c r="B44" s="20" t="str">
        <x:v>OSC Feedback</x:v>
      </x:c>
      <x:c r="C44" s="20" t="str">
        <x:v>Enable OSC status feedback</x:v>
      </x:c>
      <x:c r="D44" s="20" t="str">
        <x:v>macOS stable, Windows beta</x:v>
      </x:c>
      <x:c r="E44" s="20" t="str">
        <x:v>As a Companion user, I can receive status from PPTBridge.</x:v>
      </x:c>
      <x:c r="F44" s="20" t="str">
        <x:v>Source property enables feedback and sends to configured host/port.</x:v>
      </x:c>
      <x:c r="G44" s="20" t="str">
        <x:v>Enabling feedback sends state changes and manual Send OSC Status Now works.</x:v>
      </x:c>
      <x:c r="H44" s="20" t="str">
        <x:v>source_slide.mm send_osc_status; add_operator_mode_properties</x:v>
      </x:c>
      <x:c r="I44" s="20" t="str">
        <x:v>OSC receiver smoke</x:v>
      </x:c>
      <x:c r="J44" s="20" t="str">
        <x:v>Needs Manual</x:v>
      </x:c>
      <x:c r="K44" s="20" t="str">
        <x:v>Implemented</x:v>
      </x:c>
      <x:c r="L44" s="20" t="str">
        <x:v>P1</x:v>
      </x:c>
      <x:c r="M44" s="20" t="str">
        <x:v>2026-06-23</x:v>
      </x:c>
      <x:c r="N44" s="20" t="str"/>
    </x:row>
    <x:row r="45" ht="58" customHeight="1">
      <x:c r="A45" s="20" t="str">
        <x:v>OSCFB-002</x:v>
      </x:c>
      <x:c r="B45" s="20" t="str">
        <x:v>OSC Feedback</x:v>
      </x:c>
      <x:c r="C45" s="20" t="str">
        <x:v>Slide and title feedback</x:v>
      </x:c>
      <x:c r="D45" s="20" t="str">
        <x:v>macOS stable, Windows beta</x:v>
      </x:c>
      <x:c r="E45" s="20" t="str">
        <x:v>As a show-control user, I can display current slide, total slides, current title, and next title.</x:v>
      </x:c>
      <x:c r="F45" s="20" t="str">
        <x:v>Feedback includes current, total, title, and next_title values.</x:v>
      </x:c>
      <x:c r="G45" s="20" t="str">
        <x:v>OSC receiver gets accurate values after navigation.</x:v>
      </x:c>
      <x:c r="H45" s="20" t="str">
        <x:v>presentation_document.hpp PresentationStatus; pptbridge_osc_server.cpp</x:v>
      </x:c>
      <x:c r="I45" s="20" t="str">
        <x:v>OSC receiver smoke</x:v>
      </x:c>
      <x:c r="J45" s="20" t="str">
        <x:v>Needs Manual</x:v>
      </x:c>
      <x:c r="K45" s="20" t="str">
        <x:v>Implemented</x:v>
      </x:c>
      <x:c r="L45" s="20" t="str">
        <x:v>P1</x:v>
      </x:c>
      <x:c r="M45" s="20" t="str">
        <x:v>2026-06-23</x:v>
      </x:c>
      <x:c r="N45" s="20" t="str"/>
    </x:row>
    <x:row r="46" ht="58" customHeight="1">
      <x:c r="A46" s="20" t="str">
        <x:v>OSCFB-003</x:v>
      </x:c>
      <x:c r="B46" s="20" t="str">
        <x:v>OSC Feedback</x:v>
      </x:c>
      <x:c r="C46" s="20" t="str">
        <x:v>Deck/source/live/error feedback</x:v>
      </x:c>
      <x:c r="D46" s="20" t="str">
        <x:v>macOS stable, Windows beta</x:v>
      </x:c>
      <x:c r="E46" s="20" t="str">
        <x:v>As a show-control user, I can see deck/source/loading/error/live/black status.</x:v>
      </x:c>
      <x:c r="F46" s="20" t="str">
        <x:v>Feedback includes deck name/path, source name, loading, loaded, error, timer, live, black.</x:v>
      </x:c>
      <x:c r="G46" s="20" t="str">
        <x:v>OSC receiver gets status changes for loading, live mode, black screen, and errors.</x:v>
      </x:c>
      <x:c r="H46" s="20" t="str">
        <x:v>presentation_document.hpp PresentationStatus; source_slide.mm send_osc_status</x:v>
      </x:c>
      <x:c r="I46" s="20" t="str">
        <x:v>OSC receiver smoke</x:v>
      </x:c>
      <x:c r="J46" s="20" t="str">
        <x:v>Needs Manual</x:v>
      </x:c>
      <x:c r="K46" s="20" t="str">
        <x:v>Implemented</x:v>
      </x:c>
      <x:c r="L46" s="20" t="str">
        <x:v>P1</x:v>
      </x:c>
      <x:c r="M46" s="20" t="str">
        <x:v>2026-06-23</x:v>
      </x:c>
      <x:c r="N46" s="20" t="str"/>
    </x:row>
    <x:row r="47" ht="58" customHeight="1">
      <x:c r="A47" s="20" t="str">
        <x:v>OSCFB-004</x:v>
      </x:c>
      <x:c r="B47" s="20" t="str">
        <x:v>OSC Feedback</x:v>
      </x:c>
      <x:c r="C47" s="20" t="str">
        <x:v>Cue checked feedback</x:v>
      </x:c>
      <x:c r="D47" s="20" t="str">
        <x:v>macOS stable, Windows beta</x:v>
      </x:c>
      <x:c r="E47" s="20" t="str">
        <x:v>As a show caller, I can see whether current/next cue is checked.</x:v>
      </x:c>
      <x:c r="F47" s="20" t="str">
        <x:v>Feedback includes current_cue_checked, next_cue_checked, checked_count and cue list state.</x:v>
      </x:c>
      <x:c r="G47" s="20" t="str">
        <x:v>Checking/unchecking cues updates outgoing status.</x:v>
      </x:c>
      <x:c r="H47" s="20" t="str">
        <x:v>presentation_document.hpp CueListItem; source_slide.mm cue controls</x:v>
      </x:c>
      <x:c r="I47" s="20" t="str">
        <x:v>OSC + cue test</x:v>
      </x:c>
      <x:c r="J47" s="20" t="str">
        <x:v>Needs Manual</x:v>
      </x:c>
      <x:c r="K47" s="20" t="str">
        <x:v>Implemented</x:v>
      </x:c>
      <x:c r="L47" s="20" t="str">
        <x:v>P1</x:v>
      </x:c>
      <x:c r="M47" s="20" t="str">
        <x:v>2026-06-23</x:v>
      </x:c>
      <x:c r="N47" s="20" t="str"/>
    </x:row>
    <x:row r="48" ht="58" customHeight="1">
      <x:c r="A48" s="20" t="str">
        <x:v>COMP-001</x:v>
      </x:c>
      <x:c r="B48" s="20" t="str">
        <x:v>Companion</x:v>
      </x:c>
      <x:c r="C48" s="20" t="str">
        <x:v>OBS WebSocket property-button workflow</x:v>
      </x:c>
      <x:c r="D48" s="20" t="str">
        <x:v>macOS stable, Windows beta</x:v>
      </x:c>
      <x:c r="E48" s="20" t="str">
        <x:v>As a Companion user, I can trigger PPTBridge via OBS WebSocket property buttons.</x:v>
      </x:c>
      <x:c r="F48" s="20" t="str">
        <x:v>Documented PressInputPropertiesButton workflow uses actual source property button names.</x:v>
      </x:c>
      <x:c r="G48" s="20" t="str">
        <x:v>Companion/OBS WebSocket can press next/previous/start/status buttons.</x:v>
      </x:c>
      <x:c r="H48" s="20" t="str">
        <x:v>native-plugin/COMPANION-CONTROL.md; source_slide.mm property names</x:v>
      </x:c>
      <x:c r="I48" s="20" t="str">
        <x:v>Companion manual test</x:v>
      </x:c>
      <x:c r="J48" s="20" t="str">
        <x:v>Needs Manual</x:v>
      </x:c>
      <x:c r="K48" s="20" t="str">
        <x:v>Implemented</x:v>
      </x:c>
      <x:c r="L48" s="20" t="str">
        <x:v>P1</x:v>
      </x:c>
      <x:c r="M48" s="20" t="str">
        <x:v>2026-06-23</x:v>
      </x:c>
      <x:c r="N48" s="20" t="str"/>
    </x:row>
    <x:row r="49" ht="58" customHeight="1">
      <x:c r="A49" s="20" t="str">
        <x:v>COMP-002</x:v>
      </x:c>
      <x:c r="B49" s="20" t="str">
        <x:v>Companion</x:v>
      </x:c>
      <x:c r="C49" s="20" t="str">
        <x:v>Generic OSC starter template</x:v>
      </x:c>
      <x:c r="D49" s="20" t="str">
        <x:v>macOS stable, Windows beta</x:v>
      </x:c>
      <x:c r="E49" s="20" t="str">
        <x:v>As a Companion user, I can import a starter OSC button map.</x:v>
      </x:c>
      <x:c r="F49" s="20" t="str">
        <x:v>Package includes PPTBridge-SK-Companion-OSC-Template.json.</x:v>
      </x:c>
      <x:c r="G49" s="20" t="str">
        <x:v>Template file exists in repo/package and maps core OSC paths.</x:v>
      </x:c>
      <x:c r="H49" s="20" t="str">
        <x:v>native-plugin/companion/PPTBridge-SK-Companion-OSC-Template.json</x:v>
      </x:c>
      <x:c r="I49" s="20" t="str">
        <x:v>File/package inspection</x:v>
      </x:c>
      <x:c r="J49" s="20" t="str">
        <x:v>Verified</x:v>
      </x:c>
      <x:c r="K49" s="20" t="str">
        <x:v>Implemented</x:v>
      </x:c>
      <x:c r="L49" s="20" t="str">
        <x:v>P2</x:v>
      </x:c>
      <x:c r="M49" s="20" t="str">
        <x:v>2026-06-23</x:v>
      </x:c>
      <x:c r="N49" s="20" t="str"/>
    </x:row>
    <x:row r="50" ht="58" customHeight="1">
      <x:c r="A50" s="20" t="str">
        <x:v>PRES-001</x:v>
      </x:c>
      <x:c r="B50" s="20" t="str">
        <x:v>Presenter Layout</x:v>
      </x:c>
      <x:c r="C50" s="20" t="str">
        <x:v>Layout presets</x:v>
      </x:c>
      <x:c r="D50" s="20" t="str">
        <x:v>macOS stable, Windows beta</x:v>
      </x:c>
      <x:c r="E50" s="20" t="str">
        <x:v>As a presenter, I can choose a presenter layout that fits the monitor.</x:v>
      </x:c>
      <x:c r="F50" s="20" t="str">
        <x:v>Balanced, large preview, large notes, compact, and confidence monitor presets are available.</x:v>
      </x:c>
      <x:c r="G50" s="20" t="str">
        <x:v>Changing preset updates presenter render arrangement.</x:v>
      </x:c>
      <x:c r="H50" s="20" t="str">
        <x:v>presentation_document.hpp PresenterLayoutPreset; source_slide.mm properties</x:v>
      </x:c>
      <x:c r="I50" s="20" t="str">
        <x:v>Presenter visual test</x:v>
      </x:c>
      <x:c r="J50" s="20" t="str">
        <x:v>Needs Manual</x:v>
      </x:c>
      <x:c r="K50" s="20" t="str">
        <x:v>Implemented</x:v>
      </x:c>
      <x:c r="L50" s="20" t="str">
        <x:v>P1</x:v>
      </x:c>
      <x:c r="M50" s="20" t="str">
        <x:v>2026-06-23</x:v>
      </x:c>
      <x:c r="N50" s="20" t="str"/>
    </x:row>
    <x:row r="51" ht="58" customHeight="1">
      <x:c r="A51" s="20" t="str">
        <x:v>PRES-002</x:v>
      </x:c>
      <x:c r="B51" s="20" t="str">
        <x:v>Presenter Layout</x:v>
      </x:c>
      <x:c r="C51" s="20" t="str">
        <x:v>Preview scale and position controls</x:v>
      </x:c>
      <x:c r="D51" s="20" t="str">
        <x:v>macOS stable, Windows beta</x:v>
      </x:c>
      <x:c r="E51" s="20" t="str">
        <x:v>As a presenter, I can fit/fill/crop and reposition the slide preview.</x:v>
      </x:c>
      <x:c r="F51" s="20" t="str">
        <x:v>Preview fit/fill/crop, scale percent, and X/Y position affect presenter rendering.</x:v>
      </x:c>
      <x:c r="G51" s="20" t="str">
        <x:v>Changing controls visibly changes presenter preview without affecting program output.</x:v>
      </x:c>
      <x:c r="H51" s="20" t="str">
        <x:v>PresenterRenderOptions; README.md#Presenter Customization</x:v>
      </x:c>
      <x:c r="I51" s="20" t="str">
        <x:v>Presenter visual test</x:v>
      </x:c>
      <x:c r="J51" s="20" t="str">
        <x:v>Needs Manual</x:v>
      </x:c>
      <x:c r="K51" s="20" t="str">
        <x:v>Implemented</x:v>
      </x:c>
      <x:c r="L51" s="20" t="str">
        <x:v>P1</x:v>
      </x:c>
      <x:c r="M51" s="20" t="str">
        <x:v>2026-06-23</x:v>
      </x:c>
      <x:c r="N51" s="20" t="str"/>
    </x:row>
    <x:row r="52" ht="58" customHeight="1">
      <x:c r="A52" s="20" t="str">
        <x:v>PRES-003</x:v>
      </x:c>
      <x:c r="B52" s="20" t="str">
        <x:v>Presenter Layout</x:v>
      </x:c>
      <x:c r="C52" s="20" t="str">
        <x:v>Notes sizing controls</x:v>
      </x:c>
      <x:c r="D52" s="20" t="str">
        <x:v>macOS stable, Windows beta</x:v>
      </x:c>
      <x:c r="E52" s="20" t="str">
        <x:v>As a presenter, I can make notes easier to read.</x:v>
      </x:c>
      <x:c r="F52" s="20" t="str">
        <x:v>Notes font size, zoom, area percent, and vertical position affect notes rendering.</x:v>
      </x:c>
      <x:c r="G52" s="20" t="str">
        <x:v>Notes become larger/smaller and remain legible; no overlap with next slide.</x:v>
      </x:c>
      <x:c r="H52" s="20" t="str">
        <x:v>PresenterRenderOptions; README.md</x:v>
      </x:c>
      <x:c r="I52" s="20" t="str">
        <x:v>Presenter notes visual test</x:v>
      </x:c>
      <x:c r="J52" s="20" t="str">
        <x:v>Needs Manual</x:v>
      </x:c>
      <x:c r="K52" s="20" t="str">
        <x:v>Implemented</x:v>
      </x:c>
      <x:c r="L52" s="20" t="str">
        <x:v>P1</x:v>
      </x:c>
      <x:c r="M52" s="20" t="str">
        <x:v>2026-06-23</x:v>
      </x:c>
      <x:c r="N52" s="20" t="str"/>
    </x:row>
    <x:row r="53" ht="58" customHeight="1">
      <x:c r="A53" s="20" t="str">
        <x:v>PRES-004</x:v>
      </x:c>
      <x:c r="B53" s="20" t="str">
        <x:v>Presenter Layout</x:v>
      </x:c>
      <x:c r="C53" s="20" t="str">
        <x:v>Background color/image/logo</x:v>
      </x:c>
      <x:c r="D53" s="20" t="str">
        <x:v>macOS stable, Windows beta</x:v>
      </x:c>
      <x:c r="E53" s="20" t="str">
        <x:v>As an operator, I can brand or soften the presenter view background.</x:v>
      </x:c>
      <x:c r="F53" s="20" t="str">
        <x:v>Background color, image path, mode, and opacity are applied in presenter rendering.</x:v>
      </x:c>
      <x:c r="G53" s="20" t="str">
        <x:v>Selecting image and mode displays expected background without breaking notes.</x:v>
      </x:c>
      <x:c r="H53" s="20" t="str">
        <x:v>PresenterRenderOptions; README.md</x:v>
      </x:c>
      <x:c r="I53" s="20" t="str">
        <x:v>Presenter visual test</x:v>
      </x:c>
      <x:c r="J53" s="20" t="str">
        <x:v>Not Run</x:v>
      </x:c>
      <x:c r="K53" s="20" t="str">
        <x:v>Implemented</x:v>
      </x:c>
      <x:c r="L53" s="20" t="str">
        <x:v>P2</x:v>
      </x:c>
      <x:c r="M53" s="20" t="str">
        <x:v>2026-06-23</x:v>
      </x:c>
      <x:c r="N53" s="20" t="str"/>
    </x:row>
    <x:row r="54" ht="58" customHeight="1">
      <x:c r="A54" s="20" t="str">
        <x:v>PRES-005</x:v>
      </x:c>
      <x:c r="B54" s="20" t="str">
        <x:v>Presenter Layout</x:v>
      </x:c>
      <x:c r="C54" s="20" t="str">
        <x:v>Next-slide preview/end state</x:v>
      </x:c>
      <x:c r="D54" s="20" t="str">
        <x:v>macOS stable, Windows beta</x:v>
      </x:c>
      <x:c r="E54" s="20" t="str">
        <x:v>As a presenter, I can see the upcoming slide or clear end state.</x:v>
      </x:c>
      <x:c r="F54" s="20" t="str">
        <x:v>Presenter view shows next slide when available and End/no next slide when at final slide.</x:v>
      </x:c>
      <x:c r="G54" s="20" t="str">
        <x:v>Next panel updates on navigation and final slide shows end state.</x:v>
      </x:c>
      <x:c r="H54" s="20" t="str">
        <x:v>presentation_document.mm RenderPresenterBGRA; README.md</x:v>
      </x:c>
      <x:c r="I54" s="20" t="str">
        <x:v>Presenter final-slide test</x:v>
      </x:c>
      <x:c r="J54" s="20" t="str">
        <x:v>Needs Manual</x:v>
      </x:c>
      <x:c r="K54" s="20" t="str">
        <x:v>Implemented</x:v>
      </x:c>
      <x:c r="L54" s="20" t="str">
        <x:v>P1</x:v>
      </x:c>
      <x:c r="M54" s="20" t="str">
        <x:v>2026-06-23</x:v>
      </x:c>
      <x:c r="N54" s="20" t="str"/>
    </x:row>
    <x:row r="55" ht="58" customHeight="1">
      <x:c r="A55" s="20" t="str">
        <x:v>PRES-006</x:v>
      </x:c>
      <x:c r="B55" s="20" t="str">
        <x:v>Presenter Layout</x:v>
      </x:c>
      <x:c r="C55" s="20" t="str">
        <x:v>Cue list display</x:v>
      </x:c>
      <x:c r="D55" s="20" t="str">
        <x:v>macOS stable, Windows beta</x:v>
      </x:c>
      <x:c r="E55" s="20" t="str">
        <x:v>As a show caller, I can see a compact cue list in presenter view.</x:v>
      </x:c>
      <x:c r="F55" s="20" t="str">
        <x:v>Presenter show cue list option renders cues and checked/current/next state.</x:v>
      </x:c>
      <x:c r="G55" s="20" t="str">
        <x:v>Cue list appears, updates current/next, and reflects checked cues.</x:v>
      </x:c>
      <x:c r="H55" s="20" t="str">
        <x:v>PresenterRenderOptions show_cue_list; CueListItem</x:v>
      </x:c>
      <x:c r="I55" s="20" t="str">
        <x:v>Presenter cue visual test</x:v>
      </x:c>
      <x:c r="J55" s="20" t="str">
        <x:v>Needs Manual</x:v>
      </x:c>
      <x:c r="K55" s="20" t="str">
        <x:v>Implemented</x:v>
      </x:c>
      <x:c r="L55" s="20" t="str">
        <x:v>P1</x:v>
      </x:c>
      <x:c r="M55" s="20" t="str">
        <x:v>2026-06-23</x:v>
      </x:c>
      <x:c r="N55" s="20" t="str">
        <x:v>2026-06-23 render_smoke exercises presenter cue-list render path and cue state; visual OBS confirmation still needed.</x:v>
      </x:c>
    </x:row>
    <x:row r="56" ht="58" customHeight="1">
      <x:c r="A56" s="20" t="str">
        <x:v>CUE-001</x:v>
      </x:c>
      <x:c r="B56" s="20" t="str">
        <x:v>Cue List</x:v>
      </x:c>
      <x:c r="C56" s="20" t="str">
        <x:v>Check/uncheck current cue</x:v>
      </x:c>
      <x:c r="D56" s="20" t="str">
        <x:v>macOS stable, Windows beta</x:v>
      </x:c>
      <x:c r="E56" s="20" t="str">
        <x:v>As an operator, I can mark the current cue done/undone.</x:v>
      </x:c>
      <x:c r="F56" s="20" t="str">
        <x:v>Check / Uncheck Current Cue toggles the current slide cue state.</x:v>
      </x:c>
      <x:c r="G56" s="20" t="str">
        <x:v>Button updates checked count, presenter cue list, and OSC status.</x:v>
      </x:c>
      <x:c r="H56" s="20" t="str">
        <x:v>source_slide.mm control_toggle_current_cue</x:v>
      </x:c>
      <x:c r="I56" s="20" t="str">
        <x:v>Cue button + OSC test</x:v>
      </x:c>
      <x:c r="J56" s="20" t="str">
        <x:v>Needs Manual</x:v>
      </x:c>
      <x:c r="K56" s="20" t="str">
        <x:v>Implemented</x:v>
      </x:c>
      <x:c r="L56" s="20" t="str">
        <x:v>P1</x:v>
      </x:c>
      <x:c r="M56" s="20" t="str">
        <x:v>2026-06-23</x:v>
      </x:c>
      <x:c r="N56" s="20" t="str">
        <x:v>2026-06-23 render_smoke verified SetCueChecked(current) updates current_cue_checked and checked_count; source button/OSC end-to-end still manual.</x:v>
      </x:c>
    </x:row>
    <x:row r="57" ht="58" customHeight="1">
      <x:c r="A57" s="20" t="str">
        <x:v>CUE-002</x:v>
      </x:c>
      <x:c r="B57" s="20" t="str">
        <x:v>Cue List</x:v>
      </x:c>
      <x:c r="C57" s="20" t="str">
        <x:v>Check/uncheck next cue</x:v>
      </x:c>
      <x:c r="D57" s="20" t="str">
        <x:v>macOS stable, Windows beta</x:v>
      </x:c>
      <x:c r="E57" s="20" t="str">
        <x:v>As an operator, I can pre-mark or clear the next cue.</x:v>
      </x:c>
      <x:c r="F57" s="20" t="str">
        <x:v>Check / Uncheck Next Cue toggles current_index + 1 when it exists.</x:v>
      </x:c>
      <x:c r="G57" s="20" t="str">
        <x:v>Button handles no-next-slide case gracefully.</x:v>
      </x:c>
      <x:c r="H57" s="20" t="str">
        <x:v>source_slide.mm control_toggle_next_cue</x:v>
      </x:c>
      <x:c r="I57" s="20" t="str">
        <x:v>Cue button edge test</x:v>
      </x:c>
      <x:c r="J57" s="20" t="str">
        <x:v>Needs Manual</x:v>
      </x:c>
      <x:c r="K57" s="20" t="str">
        <x:v>Implemented</x:v>
      </x:c>
      <x:c r="L57" s="20" t="str">
        <x:v>P2</x:v>
      </x:c>
      <x:c r="M57" s="20" t="str">
        <x:v>2026-06-23</x:v>
      </x:c>
      <x:c r="N57" s="20" t="str">
        <x:v>2026-06-23 render_smoke verified SetCueChecked(next) updates next_cue_checked and checked_count on multi-slide decks; no-next edge still manual.</x:v>
      </x:c>
    </x:row>
    <x:row r="58" ht="58" customHeight="1">
      <x:c r="A58" s="20" t="str">
        <x:v>CUE-003</x:v>
      </x:c>
      <x:c r="B58" s="20" t="str">
        <x:v>Cue List</x:v>
      </x:c>
      <x:c r="C58" s="20" t="str">
        <x:v>Clear cue checks</x:v>
      </x:c>
      <x:c r="D58" s="20" t="str">
        <x:v>macOS stable, Windows beta</x:v>
      </x:c>
      <x:c r="E58" s="20" t="str">
        <x:v>As a show caller, I can reset cue checklist state.</x:v>
      </x:c>
      <x:c r="F58" s="20" t="str">
        <x:v>Clear Cue Checks clears all checked cues and sends status feedback.</x:v>
      </x:c>
      <x:c r="G58" s="20" t="str">
        <x:v>All cue checked indicators clear and count becomes zero.</x:v>
      </x:c>
      <x:c r="H58" s="20" t="str">
        <x:v>source_slide.mm control_clear_cue_checks</x:v>
      </x:c>
      <x:c r="I58" s="20" t="str">
        <x:v>Cue reset test</x:v>
      </x:c>
      <x:c r="J58" s="20" t="str">
        <x:v>Needs Manual</x:v>
      </x:c>
      <x:c r="K58" s="20" t="str">
        <x:v>Implemented</x:v>
      </x:c>
      <x:c r="L58" s="20" t="str">
        <x:v>P2</x:v>
      </x:c>
      <x:c r="M58" s="20" t="str">
        <x:v>2026-06-23</x:v>
      </x:c>
      <x:c r="N58" s="20" t="str">
        <x:v>2026-06-23 render_smoke verified ClearCueChecks resets checked_count/current/next state; OBS property button still manual.</x:v>
      </x:c>
    </x:row>
    <x:row r="59" ht="58" customHeight="1">
      <x:c r="A59" s="20" t="str">
        <x:v>CUE-004</x:v>
      </x:c>
      <x:c r="B59" s="20" t="str">
        <x:v>Cue List</x:v>
      </x:c>
      <x:c r="C59" s="20" t="str">
        <x:v>Export cue list text</x:v>
      </x:c>
      <x:c r="D59" s="20" t="str">
        <x:v>macOS stable, Windows beta</x:v>
      </x:c>
      <x:c r="E59" s="20" t="str">
        <x:v>As an operator, I can export a cue list from the deck.</x:v>
      </x:c>
      <x:c r="F59" s="20" t="str">
        <x:v>Export Cue List (.txt) writes cue titles/slides to a text file or reports an error.</x:v>
      </x:c>
      <x:c r="G59" s="20" t="str">
        <x:v>Export creates readable txt and status shows path.</x:v>
      </x:c>
      <x:c r="H59" s="20" t="str">
        <x:v>presentation_document.hpp ExportCueList; source_slide.mm control_export_cue_list</x:v>
      </x:c>
      <x:c r="I59" s="20" t="str">
        <x:v>File export test</x:v>
      </x:c>
      <x:c r="J59" s="20" t="str">
        <x:v>Not Run</x:v>
      </x:c>
      <x:c r="K59" s="20" t="str">
        <x:v>Implemented</x:v>
      </x:c>
      <x:c r="L59" s="20" t="str">
        <x:v>P2</x:v>
      </x:c>
      <x:c r="M59" s="20" t="str">
        <x:v>2026-06-23</x:v>
      </x:c>
      <x:c r="N59" s="20" t="str"/>
    </x:row>
    <x:row r="60" ht="58" customHeight="1">
      <x:c r="A60" s="20" t="str">
        <x:v>MEDIA-001</x:v>
      </x:c>
      <x:c r="B60" s="20" t="str">
        <x:v>Media</x:v>
      </x:c>
      <x:c r="C60" s="20" t="str">
        <x:v>Embedded media overlay metadata</x:v>
      </x:c>
      <x:c r="D60" s="20" t="str">
        <x:v>macOS stable</x:v>
      </x:c>
      <x:c r="E60" s="20" t="str">
        <x:v>As an operator, embedded media should be represented when using render mode.</x:v>
      </x:c>
      <x:c r="F60" s="20" t="str">
        <x:v>CurrentMedia exposes media file, bounds, autoplay, loop, and source creates media children.</x:v>
      </x:c>
      <x:c r="G60" s="20" t="str">
        <x:v>Deck with embedded media creates/plays child media in slide source.</x:v>
      </x:c>
      <x:c r="H60" s="20" t="str">
        <x:v>presentation_document.hpp EmbeddedMedia; source_slide.mm sync_media_sources</x:v>
      </x:c>
      <x:c r="I60" s="20" t="str">
        <x:v>Media deck runtime test</x:v>
      </x:c>
      <x:c r="J60" s="20" t="str">
        <x:v>Not Run</x:v>
      </x:c>
      <x:c r="K60" s="20" t="str">
        <x:v>Needs Test</x:v>
      </x:c>
      <x:c r="L60" s="20" t="str">
        <x:v>P1</x:v>
      </x:c>
      <x:c r="M60" s="20" t="str">
        <x:v>2026-06-23</x:v>
      </x:c>
      <x:c r="N60" s="20" t="str">
        <x:v>Live PPT mode preserves real PowerPoint media separately.</x:v>
      </x:c>
    </x:row>
    <x:row r="61" ht="58" customHeight="1">
      <x:c r="A61" s="20" t="str">
        <x:v>AUDIO-001</x:v>
      </x:c>
      <x:c r="B61" s="20" t="str">
        <x:v>Audio</x:v>
      </x:c>
      <x:c r="C61" s="20" t="str">
        <x:v>Enable PPTBridge audio output</x:v>
      </x:c>
      <x:c r="D61" s="20" t="str">
        <x:v>macOS stable, Windows beta</x:v>
      </x:c>
      <x:c r="E61" s="20" t="str">
        <x:v>As an operator, I can mute or enable plugin audio output.</x:v>
      </x:c>
      <x:c r="F61" s="20" t="str">
        <x:v>Enable PPTBridge Audio Output controls audio_render output.</x:v>
      </x:c>
      <x:c r="G61" s="20" t="str">
        <x:v>Turning off audio prevents source audio mix; turning on restores it.</x:v>
      </x:c>
      <x:c r="H61" s="20" t="str">
        <x:v>source_slide.mm audio_enabled/audio_render</x:v>
      </x:c>
      <x:c r="I61" s="20" t="str">
        <x:v>OBS audio meter test</x:v>
      </x:c>
      <x:c r="J61" s="20" t="str">
        <x:v>Not Run</x:v>
      </x:c>
      <x:c r="K61" s="20" t="str">
        <x:v>Implemented</x:v>
      </x:c>
      <x:c r="L61" s="20" t="str">
        <x:v>P1</x:v>
      </x:c>
      <x:c r="M61" s="20" t="str">
        <x:v>2026-06-23</x:v>
      </x:c>
      <x:c r="N61" s="20" t="str"/>
    </x:row>
    <x:row r="62" ht="58" customHeight="1">
      <x:c r="A62" s="20" t="str">
        <x:v>AUDIO-002</x:v>
      </x:c>
      <x:c r="B62" s="20" t="str">
        <x:v>Audio</x:v>
      </x:c>
      <x:c r="C62" s="20" t="str">
        <x:v>Route PowerPoint app audio through OBS</x:v>
      </x:c>
      <x:c r="D62" s="20" t="str">
        <x:v>macOS stable</x:v>
      </x:c>
      <x:c r="E62" s="20" t="str">
        <x:v>As an operator, live PowerPoint media audio can be routed through OBS.</x:v>
      </x:c>
      <x:c r="F62" s="20" t="str">
        <x:v>When enabled in true live mode, PPTBridge attaches PowerPoint app audio source when available.</x:v>
      </x:c>
      <x:c r="G62" s="20" t="str">
        <x:v>OBS mixer shows PowerPoint app audio under PPTBridge slide source.</x:v>
      </x:c>
      <x:c r="H62" s="20" t="str">
        <x:v>source_slide.mm live_audio_source/use_live_app_audio; PRO-AUDIO-MODE.md</x:v>
      </x:c>
      <x:c r="I62" s="20" t="str">
        <x:v>Live media/audio test</x:v>
      </x:c>
      <x:c r="J62" s="20" t="str">
        <x:v>Not Run</x:v>
      </x:c>
      <x:c r="K62" s="20" t="str">
        <x:v>Needs Test</x:v>
      </x:c>
      <x:c r="L62" s="20" t="str">
        <x:v>P1</x:v>
      </x:c>
      <x:c r="M62" s="20" t="str">
        <x:v>2026-06-23</x:v>
      </x:c>
      <x:c r="N62" s="20" t="str"/>
    </x:row>
    <x:row r="63" ht="58" customHeight="1">
      <x:c r="A63" s="20" t="str">
        <x:v>AUDIO-003</x:v>
      </x:c>
      <x:c r="B63" s="20" t="str">
        <x:v>Audio</x:v>
      </x:c>
      <x:c r="C63" s="20" t="str">
        <x:v>Audio gain</x:v>
      </x:c>
      <x:c r="D63" s="20" t="str">
        <x:v>macOS stable, Windows beta</x:v>
      </x:c>
      <x:c r="E63" s="20" t="str">
        <x:v>As an operator, I can adjust playback level.</x:v>
      </x:c>
      <x:c r="F63" s="20" t="str">
        <x:v>Audio Gain dB applies multiplier during audio mixing.</x:v>
      </x:c>
      <x:c r="G63" s="20" t="str">
        <x:v>Changing gain changes meter/output level without clipping weirdness.</x:v>
      </x:c>
      <x:c r="H63" s="20" t="str">
        <x:v>source_slide.mm audio_gain_db/audio_gain_multiplier_db</x:v>
      </x:c>
      <x:c r="I63" s="20" t="str">
        <x:v>OBS audio meter test</x:v>
      </x:c>
      <x:c r="J63" s="20" t="str">
        <x:v>Not Run</x:v>
      </x:c>
      <x:c r="K63" s="20" t="str">
        <x:v>Implemented</x:v>
      </x:c>
      <x:c r="L63" s="20" t="str">
        <x:v>P2</x:v>
      </x:c>
      <x:c r="M63" s="20" t="str">
        <x:v>2026-06-23</x:v>
      </x:c>
      <x:c r="N63" s="20" t="str"/>
    </x:row>
    <x:row r="64" ht="58" customHeight="1">
      <x:c r="A64" s="20" t="str">
        <x:v>INSTALL-001</x:v>
      </x:c>
      <x:c r="B64" s="20" t="str">
        <x:v>Install</x:v>
      </x:c>
      <x:c r="C64" s="20" t="str">
        <x:v>macOS Apple Silicon ZIP install</x:v>
      </x:c>
      <x:c r="D64" s="20" t="str">
        <x:v>macOS stable</x:v>
      </x:c>
      <x:c r="E64" s="20" t="str">
        <x:v>As a Mac user, I can install from ZIP without building from source.</x:v>
      </x:c>
      <x:c r="F64" s="20" t="str">
        <x:v>ZIP contains START-HERE, installer command, plugin bundle, README, Companion docs/template, and helper script.</x:v>
      </x:c>
      <x:c r="G64" s="20" t="str">
        <x:v>Fresh unzip + double-click install copies plugin and OBS sees sources.</x:v>
      </x:c>
      <x:c r="H64" s="20" t="str">
        <x:v>README.md#Quick macOS Install; native-plugin/scripts/make-release.sh</x:v>
      </x:c>
      <x:c r="I64" s="20" t="str">
        <x:v>Package inspection + install test</x:v>
      </x:c>
      <x:c r="J64" s="20" t="str">
        <x:v>Verified</x:v>
      </x:c>
      <x:c r="K64" s="20" t="str">
        <x:v>Implemented</x:v>
      </x:c>
      <x:c r="L64" s="20" t="str">
        <x:v>P0</x:v>
      </x:c>
      <x:c r="M64" s="20" t="str">
        <x:v>2026-06-23</x:v>
      </x:c>
      <x:c r="N64" s="20" t="str">
        <x:v>2026-06-23 v0.5.7 release installer copied plugin to user OBS plugins folder; OBS opened and log showed Native plugin loaded.</x:v>
      </x:c>
    </x:row>
    <x:row r="65" ht="58" customHeight="1">
      <x:c r="A65" s="20" t="str">
        <x:v>INSTALL-002</x:v>
      </x:c>
      <x:c r="B65" s="20" t="str">
        <x:v>Install</x:v>
      </x:c>
      <x:c r="C65" s="20" t="str">
        <x:v>macOS blocked command guidance</x:v>
      </x:c>
      <x:c r="D65" s="20" t="str">
        <x:v>macOS stable</x:v>
      </x:c>
      <x:c r="E65" s="20" t="str">
        <x:v>As a Mac user, I know how to open unsigned installer command.</x:v>
      </x:c>
      <x:c r="F65" s="20" t="str">
        <x:v>Docs tell user to right-click and Open if macOS blocks it.</x:v>
      </x:c>
      <x:c r="G65" s="20" t="str">
        <x:v>README/Quickstart/START-HERE contain correct guidance.</x:v>
      </x:c>
      <x:c r="H65" s="20" t="str">
        <x:v>README.md; QUICKSTART.md; START-HERE-macOS.txt</x:v>
      </x:c>
      <x:c r="I65" s="20" t="str">
        <x:v>Docs inspection</x:v>
      </x:c>
      <x:c r="J65" s="20" t="str">
        <x:v>Verified</x:v>
      </x:c>
      <x:c r="K65" s="20" t="str">
        <x:v>Implemented</x:v>
      </x:c>
      <x:c r="L65" s="20" t="str">
        <x:v>P2</x:v>
      </x:c>
      <x:c r="M65" s="20" t="str">
        <x:v>2026-06-23</x:v>
      </x:c>
      <x:c r="N65" s="20" t="str"/>
    </x:row>
    <x:row r="66" ht="58" customHeight="1">
      <x:c r="A66" s="20" t="str">
        <x:v>INSTALL-003</x:v>
      </x:c>
      <x:c r="B66" s="20" t="str">
        <x:v>Install</x:v>
      </x:c>
      <x:c r="C66" s="20" t="str">
        <x:v>Legacy Python cleanup helper</x:v>
      </x:c>
      <x:c r="D66" s="20" t="str">
        <x:v>macOS stable</x:v>
      </x:c>
      <x:c r="E66" s="20" t="str">
        <x:v>As an upgrading user, I can remove old Python/script install leftovers.</x:v>
      </x:c>
      <x:c r="F66" s="20" t="str">
        <x:v>Repo includes cleanup-legacy-python helper and docs mention troubleshooting path.</x:v>
      </x:c>
      <x:c r="G66" s="20" t="str">
        <x:v>Script exists and does not ship as accidental primary installer.</x:v>
      </x:c>
      <x:c r="H66" s="20" t="str">
        <x:v>native-plugin/scripts/cleanup-legacy-python.sh; FAQ.md</x:v>
      </x:c>
      <x:c r="I66" s="20" t="str">
        <x:v>File/docs inspection</x:v>
      </x:c>
      <x:c r="J66" s="20" t="str">
        <x:v>Not Run</x:v>
      </x:c>
      <x:c r="K66" s="20" t="str">
        <x:v>Implemented</x:v>
      </x:c>
      <x:c r="L66" s="20" t="str">
        <x:v>P3</x:v>
      </x:c>
      <x:c r="M66" s="20" t="str">
        <x:v>2026-06-23</x:v>
      </x:c>
      <x:c r="N66" s="20" t="str"/>
    </x:row>
    <x:row r="67" ht="58" customHeight="1">
      <x:c r="A67" s="20" t="str">
        <x:v>INSTALL-004</x:v>
      </x:c>
      <x:c r="B67" s="20" t="str">
        <x:v>Install</x:v>
      </x:c>
      <x:c r="C67" s="20" t="str">
        <x:v>Release ZIP has no duplicate junk assets</x:v>
      </x:c>
      <x:c r="D67" s="20" t="str">
        <x:v>macOS stable</x:v>
      </x:c>
      <x:c r="E67" s="20" t="str">
        <x:v>As a user, the download should be simple and not contain confusing duplicate files.</x:v>
      </x:c>
      <x:c r="F67" s="20" t="str">
        <x:v>Release ZIP should contain only user-facing installer/plugin/docs/template/script files.</x:v>
      </x:c>
      <x:c r="G67" s="20" t="str">
        <x:v>ZIP listing matches documented package contents.</x:v>
      </x:c>
      <x:c r="H67" s="20" t="str">
        <x:v>native-plugin/scripts/make-release.sh; release asset</x:v>
      </x:c>
      <x:c r="I67" s="20" t="str">
        <x:v>unzip listing test</x:v>
      </x:c>
      <x:c r="J67" s="20" t="str">
        <x:v>Verified</x:v>
      </x:c>
      <x:c r="K67" s="20" t="str">
        <x:v>Implemented</x:v>
      </x:c>
      <x:c r="L67" s="20" t="str">
        <x:v>P1</x:v>
      </x:c>
      <x:c r="M67" s="20" t="str">
        <x:v>2026-06-23</x:v>
      </x:c>
      <x:c r="N67" s="20" t="str">
        <x:v>2026-06-23 v0.5.7 ZIP listing contains installer, START-HERE, plugin bundle, README, Companion guide/template, and send-osc helper only.</x:v>
      </x:c>
    </x:row>
    <x:row r="68" ht="58" customHeight="1">
      <x:c r="A68" s="20" t="str">
        <x:v>PACK-001</x:v>
      </x:c>
      <x:c r="B68" s="20" t="str">
        <x:v>Release</x:v>
      </x:c>
      <x:c r="C68" s="20" t="str">
        <x:v>Checksum asset</x:v>
      </x:c>
      <x:c r="D68" s="20" t="str">
        <x:v>macOS stable</x:v>
      </x:c>
      <x:c r="E68" s="20" t="str">
        <x:v>As a careful user, I can verify the downloaded ZIP checksum.</x:v>
      </x:c>
      <x:c r="F68" s="20" t="str">
        <x:v>Release includes .sha256 next to ZIP.</x:v>
      </x:c>
      <x:c r="G68" s="20" t="str">
        <x:v>Checksum file is uploaded and matches ZIP.</x:v>
      </x:c>
      <x:c r="H68" s="20" t="str">
        <x:v>GitHub release v0.5.7; scripts/make-release.sh</x:v>
      </x:c>
      <x:c r="I68" s="20" t="str">
        <x:v>Release asset + sha256 test</x:v>
      </x:c>
      <x:c r="J68" s="20" t="str">
        <x:v>Verified</x:v>
      </x:c>
      <x:c r="K68" s="20" t="str">
        <x:v>Implemented</x:v>
      </x:c>
      <x:c r="L68" s="20" t="str">
        <x:v>P2</x:v>
      </x:c>
      <x:c r="M68" s="20" t="str">
        <x:v>2026-06-23</x:v>
      </x:c>
      <x:c r="N68" s="20" t="str">
        <x:v>2026-06-23 local shasum -a 256 -c passed for v0.5.7 ZIP.</x:v>
      </x:c>
    </x:row>
    <x:row r="69" ht="58" customHeight="1">
      <x:c r="A69" s="20" t="str">
        <x:v>DOC-001</x:v>
      </x:c>
      <x:c r="B69" s="20" t="str">
        <x:v>Docs</x:v>
      </x:c>
      <x:c r="C69" s="20" t="str">
        <x:v>README describes current workflow</x:v>
      </x:c>
      <x:c r="D69" s="20" t="str">
        <x:v>All</x:v>
      </x:c>
      <x:c r="E69" s="20" t="str">
        <x:v>As a new user, I can understand what PPTBridge does and where to download.</x:v>
      </x:c>
      <x:c r="F69" s="20" t="str">
        <x:v>README top area explains split slide/presenter output, stable download, install path, and main workflow.</x:v>
      </x:c>
      <x:c r="G69" s="20" t="str">
        <x:v>README first screen points to v0.5.7 and quick setup.</x:v>
      </x:c>
      <x:c r="H69" s="20" t="str">
        <x:v>README.md</x:v>
      </x:c>
      <x:c r="I69" s="20" t="str">
        <x:v>Docs review</x:v>
      </x:c>
      <x:c r="J69" s="20" t="str">
        <x:v>Verified</x:v>
      </x:c>
      <x:c r="K69" s="20" t="str">
        <x:v>Implemented</x:v>
      </x:c>
      <x:c r="L69" s="20" t="str">
        <x:v>P1</x:v>
      </x:c>
      <x:c r="M69" s="20" t="str">
        <x:v>2026-06-23</x:v>
      </x:c>
      <x:c r="N69" s="20" t="str"/>
    </x:row>
    <x:row r="70" ht="58" customHeight="1">
      <x:c r="A70" s="20" t="str">
        <x:v>DOC-002</x:v>
      </x:c>
      <x:c r="B70" s="20" t="str">
        <x:v>Docs</x:v>
      </x:c>
      <x:c r="C70" s="20" t="str">
        <x:v>Support/FAQ troubleshooting</x:v>
      </x:c>
      <x:c r="D70" s="20" t="str">
        <x:v>All</x:v>
      </x:c>
      <x:c r="E70" s="20" t="str">
        <x:v>As a user with a problem, I can find what to check before reporting.</x:v>
      </x:c>
      <x:c r="F70" s="20" t="str">
        <x:v>FAQ and SUPPORT cover install, missing sources, permissions, logs, and expected details.</x:v>
      </x:c>
      <x:c r="G70" s="20" t="str">
        <x:v>Docs give actionable support checklist.</x:v>
      </x:c>
      <x:c r="H70" s="20" t="str">
        <x:v>FAQ.md; SUPPORT.md</x:v>
      </x:c>
      <x:c r="I70" s="20" t="str">
        <x:v>Docs review</x:v>
      </x:c>
      <x:c r="J70" s="20" t="str">
        <x:v>Not Run</x:v>
      </x:c>
      <x:c r="K70" s="20" t="str">
        <x:v>Implemented</x:v>
      </x:c>
      <x:c r="L70" s="20" t="str">
        <x:v>P2</x:v>
      </x:c>
      <x:c r="M70" s="20" t="str">
        <x:v>2026-06-23</x:v>
      </x:c>
      <x:c r="N70" s="20" t="str"/>
    </x:row>
    <x:row r="71" ht="58" customHeight="1">
      <x:c r="A71" s="20" t="str">
        <x:v>QA-001</x:v>
      </x:c>
      <x:c r="B71" s="20" t="str">
        <x:v>QA Tracker</x:v>
      </x:c>
      <x:c r="C71" s="20" t="str">
        <x:v>Single canonical feature tracker</x:v>
      </x:c>
      <x:c r="D71" s="20" t="str">
        <x:v>All</x:v>
      </x:c>
      <x:c r="E71" s="20" t="str">
        <x:v>As the maintainer, I can keep one canonical spreadsheet that tracks every feature, test, issue, fix, and retest status.</x:v>
      </x:c>
      <x:c r="F71" s="20" t="str">
        <x:v>The tracker opens as a valid workbook with Summary, UserStories, TestLog, and Issues sheets, and formula scans find no spreadsheet errors.</x:v>
      </x:c>
      <x:c r="G71" s="20" t="str">
        <x:v>Workbook imports successfully, status formulas compute, and all test/issue evidence stays in the same file.</x:v>
      </x:c>
      <x:c r="H71" s="20" t="str">
        <x:v>qa/PPTBridge-Feature-QA-Tracker.xlsx; qa/build-feature-qa-tracker.mjs</x:v>
      </x:c>
      <x:c r="I71" s="20" t="str">
        <x:v>Workbook import + formula scan</x:v>
      </x:c>
      <x:c r="J71" s="20" t="str">
        <x:v>Verified</x:v>
      </x:c>
      <x:c r="K71" s="20" t="str">
        <x:v>Implemented</x:v>
      </x:c>
      <x:c r="L71" s="20" t="str">
        <x:v>P1</x:v>
      </x:c>
      <x:c r="M71" s="20" t="str">
        <x:v>2026-06-23</x:v>
      </x:c>
      <x:c r="N71" s="20" t="str">
        <x:v>Tracks the QA process itself, not an end-user plugin feature.</x:v>
      </x:c>
    </x:row>
    <x:row r="72" ht="58" customHeight="1">
      <x:c r="A72" s="20" t="str">
        <x:v>WIN-001</x:v>
      </x:c>
      <x:c r="B72" s="20" t="str">
        <x:v>Windows Beta</x:v>
      </x:c>
      <x:c r="C72" s="20" t="str">
        <x:v>Windows installer</x:v>
      </x:c>
      <x:c r="D72" s="20" t="str">
        <x:v>Windows beta</x:v>
      </x:c>
      <x:c r="E72" s="20" t="str">
        <x:v>As a Windows tester, I can install the beta with INSTALL.cmd.</x:v>
      </x:c>
      <x:c r="F72" s="20" t="str">
        <x:v>INSTALL.cmd copies plugin files to OBS plugin location and docs label beta limitations.</x:v>
      </x:c>
      <x:c r="G72" s="20" t="str">
        <x:v>Windows install succeeds on real machine.</x:v>
      </x:c>
      <x:c r="H72" s="20" t="str">
        <x:v>native-plugin/windows-package/INSTALL.cmd; INSTALL-Windows.md</x:v>
      </x:c>
      <x:c r="I72" s="20" t="str">
        <x:v>Windows laptop test</x:v>
      </x:c>
      <x:c r="J72" s="20" t="str">
        <x:v>Needs Manual</x:v>
      </x:c>
      <x:c r="K72" s="20" t="str">
        <x:v>Beta</x:v>
      </x:c>
      <x:c r="L72" s="20" t="str">
        <x:v>P1</x:v>
      </x:c>
      <x:c r="M72" s="20" t="str">
        <x:v>2026-06-23</x:v>
      </x:c>
      <x:c r="N72" s="20" t="str">
        <x:v>Out of scope for Mac-only validation.</x:v>
      </x:c>
    </x:row>
    <x:row r="73" ht="58" customHeight="1">
      <x:c r="A73" s="20" t="str">
        <x:v>WIN-002</x:v>
      </x:c>
      <x:c r="B73" s="20" t="str">
        <x:v>Windows Beta</x:v>
      </x:c>
      <x:c r="C73" s="20" t="str">
        <x:v>Windows live PowerPoint control</x:v>
      </x:c>
      <x:c r="D73" s="20" t="str">
        <x:v>Windows beta</x:v>
      </x:c>
      <x:c r="E73" s="20" t="str">
        <x:v>As a Windows tester, I can start/stop PowerPoint live mode.</x:v>
      </x:c>
      <x:c r="F73" s="20" t="str">
        <x:v>Windows implementation controls PowerPoint live window with beta constraints.</x:v>
      </x:c>
      <x:c r="G73" s="20" t="str">
        <x:v>Start/Stop and navigation work with PowerPoint installed.</x:v>
      </x:c>
      <x:c r="H73" s="20" t="str">
        <x:v>native-plugin/src/presentation_document_win.cpp; source_slide_win.cpp</x:v>
      </x:c>
      <x:c r="I73" s="20" t="str">
        <x:v>Windows runtime test</x:v>
      </x:c>
      <x:c r="J73" s="20" t="str">
        <x:v>Needs Manual</x:v>
      </x:c>
      <x:c r="K73" s="20" t="str">
        <x:v>Beta</x:v>
      </x:c>
      <x:c r="L73" s="20" t="str">
        <x:v>P1</x:v>
      </x:c>
      <x:c r="M73" s="20" t="str">
        <x:v>2026-06-23</x:v>
      </x:c>
      <x:c r="N73" s="20" t="str"/>
    </x:row>
    <x:row r="74" ht="58" customHeight="1">
      <x:c r="A74" s="20" t="str">
        <x:v>WIN-003</x:v>
      </x:c>
      <x:c r="B74" s="20" t="str">
        <x:v>Windows Beta</x:v>
      </x:c>
      <x:c r="C74" s="20" t="str">
        <x:v>Windows clicker capture</x:v>
      </x:c>
      <x:c r="D74" s="20" t="str">
        <x:v>Windows beta</x:v>
      </x:c>
      <x:c r="E74" s="20" t="str">
        <x:v>As a Windows show operator, clicker capture can route presenter keys globally.</x:v>
      </x:c>
      <x:c r="F74" s="20" t="str">
        <x:v>Low-level keyboard hook maps PageDown/PageUp and supported hotkeys.</x:v>
      </x:c>
      <x:c r="G74" s="20" t="str">
        <x:v>With capture enabled, PageDown/PageUp route to Program deck.</x:v>
      </x:c>
      <x:c r="H74" s="20" t="str">
        <x:v>native-plugin/src/plugin-main.cpp</x:v>
      </x:c>
      <x:c r="I74" s="20" t="str">
        <x:v>Windows runtime test</x:v>
      </x:c>
      <x:c r="J74" s="20" t="str">
        <x:v>Needs Manual</x:v>
      </x:c>
      <x:c r="K74" s="20" t="str">
        <x:v>Beta</x:v>
      </x:c>
      <x:c r="L74" s="20" t="str">
        <x:v>P2</x:v>
      </x:c>
      <x:c r="M74" s="20" t="str">
        <x:v>2026-06-23</x:v>
      </x:c>
      <x:c r="N74" s="20" t="str"/>
    </x:row>
  </x:sheetData>
  <x:mergeCells>
    <x:mergeCell ref="A1:N1"/>
    <x:mergeCell ref="A2:N2"/>
  </x:mergeCells>
  <x:dataValidations count="3">
    <x:dataValidation type="list" sqref="J5:J74">
      <x:formula1>"Verified,Pass,Not Run,Needs Manual,Blocked,Failed,Retest Required"</x:formula1>
    </x:dataValidation>
    <x:dataValidation type="list" sqref="K5:K74">
      <x:formula1>"Implemented,Beta,Needs Test,Known Risk,Docs Only"</x:formula1>
    </x:dataValidation>
    <x:dataValidation type="list" sqref="L5:L74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5ec4879bf542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54" hidden="0" customWidth="1"/>
    <x:col min="5" max="5" width="48" hidden="0" customWidth="1"/>
    <x:col min="6" max="6" width="44" hidden="0" customWidth="1"/>
    <x:col min="7" max="7" width="14" hidden="0" customWidth="1"/>
    <x:col min="8" max="8" width="36" hidden="0" customWidth="1"/>
    <x:col min="9" max="9" width="14" hidden="0" customWidth="1"/>
  </x:cols>
  <x:sheetData>
    <x:row r="1" ht="28" customHeight="1">
      <x:c r="A1" s="18" t="str">
        <x:v>PPTBridge SK Test Log</x:v>
      </x:c>
    </x:row>
    <x:row r="2" ht="28" customHeight="1">
      <x:c r="A2" s="5" t="str">
        <x:v>Every manual or automated check should be recorded here before a story is marked Verified.</x:v>
      </x:c>
    </x:row>
    <x:row r="4">
      <x:c r="A4" s="9" t="str">
        <x:v>Test ID</x:v>
      </x:c>
      <x:c r="B4" s="9" t="str">
        <x:v>Story ID</x:v>
      </x:c>
      <x:c r="C4" s="9" t="str">
        <x:v>Scenario</x:v>
      </x:c>
      <x:c r="D4" s="9" t="str">
        <x:v>Steps</x:v>
      </x:c>
      <x:c r="E4" s="9" t="str">
        <x:v>Expected</x:v>
      </x:c>
      <x:c r="F4" s="9" t="str">
        <x:v>Actual</x:v>
      </x:c>
      <x:c r="G4" s="9" t="str">
        <x:v>Result</x:v>
      </x:c>
      <x:c r="H4" s="9" t="str">
        <x:v>Evidence</x:v>
      </x:c>
      <x:c r="I4" s="9" t="str">
        <x:v>Last Run</x:v>
      </x:c>
    </x:row>
    <x:row r="5" ht="64" customHeight="1">
      <x:c r="A5" s="20" t="str">
        <x:v>T-001</x:v>
      </x:c>
      <x:c r="B5" s="20" t="str">
        <x:v>LIVE-001</x:v>
      </x:c>
      <x:c r="C5" s="20" t="str">
        <x:v>Manual live smoke</x:v>
      </x:c>
      <x:c r="D5" s="20" t="str">
        <x:v>Run native-plugin/tests/live_powerpoint_smoke.mm against local PowerPoint/OBS build.</x:v>
      </x:c>
      <x:c r="E5" s="20" t="str">
        <x:v>PPTX preview appears, Start Live Mode starts slideshow, Stop ends slideshow.</x:v>
      </x:c>
      <x:c r="F5" s="20" t="str">
        <x:v>Passed during v0.5.6 release validation.</x:v>
      </x:c>
      <x:c r="G5" s="20" t="str">
        <x:v>Pass</x:v>
      </x:c>
      <x:c r="H5" s="20" t="str">
        <x:v>v0.5.6 release notes / local test run</x:v>
      </x:c>
      <x:c r="I5" s="20" t="str">
        <x:v>2026-06-23</x:v>
      </x:c>
    </x:row>
    <x:row r="6" ht="64" customHeight="1">
      <x:c r="A6" s="20" t="str">
        <x:v>T-002</x:v>
      </x:c>
      <x:c r="B6" s="20" t="str">
        <x:v>LIVE-002</x:v>
      </x:c>
      <x:c r="C6" s="20" t="str">
        <x:v>Immediate start after preview</x:v>
      </x:c>
      <x:c r="D6" s="20" t="str">
        <x:v>Click Start while presenter assets may still be preparing.</x:v>
      </x:c>
      <x:c r="E6" s="20" t="str">
        <x:v>Start command is not lost.</x:v>
      </x:c>
      <x:c r="F6" s="20" t="str">
        <x:v>Passed in v0.5.6 smoke coverage.</x:v>
      </x:c>
      <x:c r="G6" s="20" t="str">
        <x:v>Pass</x:v>
      </x:c>
      <x:c r="H6" s="20" t="str">
        <x:v>native-plugin/tests/live_powerpoint_smoke.mm</x:v>
      </x:c>
      <x:c r="I6" s="20" t="str">
        <x:v>2026-06-23</x:v>
      </x:c>
    </x:row>
    <x:row r="7" ht="64" customHeight="1">
      <x:c r="A7" s="20" t="str">
        <x:v>T-003</x:v>
      </x:c>
      <x:c r="B7" s="20" t="str">
        <x:v>COMP-002</x:v>
      </x:c>
      <x:c r="C7" s="20" t="str">
        <x:v>Companion template present</x:v>
      </x:c>
      <x:c r="D7" s="20" t="str">
        <x:v>Inspect repo/package for native-plugin/companion/PPTBridge-SK-Companion-OSC-Template.json.</x:v>
      </x:c>
      <x:c r="E7" s="20" t="str">
        <x:v>Template exists and is documented.</x:v>
      </x:c>
      <x:c r="F7" s="20" t="str">
        <x:v>File exists in repo.</x:v>
      </x:c>
      <x:c r="G7" s="20" t="str">
        <x:v>Pass</x:v>
      </x:c>
      <x:c r="H7" s="20" t="str">
        <x:v>rg --files output</x:v>
      </x:c>
      <x:c r="I7" s="20" t="str">
        <x:v>2026-06-23</x:v>
      </x:c>
    </x:row>
    <x:row r="8" ht="64" customHeight="1">
      <x:c r="A8" s="20" t="str">
        <x:v>T-004</x:v>
      </x:c>
      <x:c r="B8" s="20" t="str">
        <x:v>HOTKEY-004</x:v>
      </x:c>
      <x:c r="C8" s="20" t="str">
        <x:v>Left/right arrow regression</x:v>
      </x:c>
      <x:c r="D8" s="20" t="str">
        <x:v>With OBS open, test left/right arrow in OBS UI and text inputs.</x:v>
      </x:c>
      <x:c r="E8" s="20" t="str">
        <x:v>Arrows are not swallowed by PPTBridge defaults or global capture.</x:v>
      </x:c>
      <x:c r="F8" s="20" t="str">
        <x:v>Pending hands-on OBS test.</x:v>
      </x:c>
      <x:c r="G8" s="20" t="str">
        <x:v>Not Run</x:v>
      </x:c>
      <x:c r="H8" s="20" t="str">
        <x:v>User-reported regression guard</x:v>
      </x:c>
      <x:c r="I8" s="20" t="str">
        <x:v>2026-06-23</x:v>
      </x:c>
    </x:row>
    <x:row r="9" ht="64" customHeight="1">
      <x:c r="A9" s="20" t="str">
        <x:v>T-005</x:v>
      </x:c>
      <x:c r="B9" s="20" t="str">
        <x:v>LOAD-001</x:v>
      </x:c>
      <x:c r="C9" s="20" t="str">
        <x:v>New PPT load speed</x:v>
      </x:c>
      <x:c r="D9" s="20" t="str">
        <x:v>Add a new PPTX from Desktop test folder and time until first visible preview.</x:v>
      </x:c>
      <x:c r="E9" s="20" t="str">
        <x:v>First visible preview should appear quickly; notes/media may continue in background.</x:v>
      </x:c>
      <x:c r="F9" s="20" t="str">
        <x:v>Uncached PPTX rendered first preview in 3160 ms and fully loaded in 3469 ms when run unsandboxed like OBS.</x:v>
      </x:c>
      <x:c r="G9" s="20" t="str">
        <x:v>Pass</x:v>
      </x:c>
      <x:c r="H9" s="20" t="str">
        <x:v>/tmp/pptbridge_render_smoke /tmp/pptbridge-uncached-livepath-test.pptx</x:v>
      </x:c>
      <x:c r="I9" s="20" t="str">
        <x:v>2026-06-23</x:v>
      </x:c>
    </x:row>
    <x:row r="10" ht="64" customHeight="1">
      <x:c r="A10" s="20" t="str">
        <x:v>T-006</x:v>
      </x:c>
      <x:c r="B10" s="20" t="str">
        <x:v>INSTALL-001</x:v>
      </x:c>
      <x:c r="C10" s="20" t="str">
        <x:v>macOS build</x:v>
      </x:c>
      <x:c r="D10" s="20" t="str">
        <x:v>Run ./build.sh in native-plugin.</x:v>
      </x:c>
      <x:c r="E10" s="20" t="str">
        <x:v>Plugin bundle builds cleanly.</x:v>
      </x:c>
      <x:c r="F10" s="20" t="str">
        <x:v>Build completed and linked pptbridge-obs.plugin.</x:v>
      </x:c>
      <x:c r="G10" s="20" t="str">
        <x:v>Pass</x:v>
      </x:c>
      <x:c r="H10" s="20" t="str">
        <x:v>./build.sh</x:v>
      </x:c>
      <x:c r="I10" s="20" t="str">
        <x:v>2026-06-23</x:v>
      </x:c>
    </x:row>
    <x:row r="11" ht="64" customHeight="1">
      <x:c r="A11" s="20" t="str">
        <x:v>T-007</x:v>
      </x:c>
      <x:c r="B11" s="20" t="str">
        <x:v>OSCFB-001</x:v>
      </x:c>
      <x:c r="C11" s="20" t="str">
        <x:v>OSC feedback smoke</x:v>
      </x:c>
      <x:c r="D11" s="20" t="str">
        <x:v>Compile and run native-plugin/tests/osc_feedback_smoke.cpp.</x:v>
      </x:c>
      <x:c r="E11" s="20" t="str">
        <x:v>OSC feedback sender emits expected status messages.</x:v>
      </x:c>
      <x:c r="F11" s="20" t="str">
        <x:v>Smoke test passed with 16 messages.</x:v>
      </x:c>
      <x:c r="G11" s="20" t="str">
        <x:v>Pass</x:v>
      </x:c>
      <x:c r="H11" s="20" t="str">
        <x:v>/tmp/pptbridge_osc_feedback_test</x:v>
      </x:c>
      <x:c r="I11" s="20" t="str">
        <x:v>2026-06-23</x:v>
      </x:c>
    </x:row>
    <x:row r="12" ht="64" customHeight="1">
      <x:c r="A12" s="20" t="str">
        <x:v>T-008</x:v>
      </x:c>
      <x:c r="B12" s="20" t="str">
        <x:v>DECK-002</x:v>
      </x:c>
      <x:c r="C12" s="20" t="str">
        <x:v>PDF render smoke</x:v>
      </x:c>
      <x:c r="D12" s="20" t="str">
        <x:v>Run render_smoke against Desktop test PDF.</x:v>
      </x:c>
      <x:c r="E12" s="20" t="str">
        <x:v>PDF loads and renders slide/presenter output.</x:v>
      </x:c>
      <x:c r="F12" s="20" t="str">
        <x:v>20-slide PDF loaded in 16 ms; slide and presenter render passed.</x:v>
      </x:c>
      <x:c r="G12" s="20" t="str">
        <x:v>Pass</x:v>
      </x:c>
      <x:c r="H12" s="20" t="str">
        <x:v>/tmp/pptbridge_render_smoke Desktop/PPT ZA PROBU PDF</x:v>
      </x:c>
      <x:c r="I12" s="20" t="str">
        <x:v>2026-06-23</x:v>
      </x:c>
    </x:row>
    <x:row r="13" ht="64" customHeight="1">
      <x:c r="A13" s="20" t="str">
        <x:v>T-009</x:v>
      </x:c>
      <x:c r="B13" s="20" t="str">
        <x:v>CACHE-001</x:v>
      </x:c>
      <x:c r="C13" s="20" t="str">
        <x:v>Cached PPTX render smoke</x:v>
      </x:c>
      <x:c r="D13" s="20" t="str">
        <x:v>Run render_smoke against existing cached Desktop PPTX.</x:v>
      </x:c>
      <x:c r="E13" s="20" t="str">
        <x:v>Cached PPTX should reuse generated PDF and render quickly.</x:v>
      </x:c>
      <x:c r="F13" s="20" t="str">
        <x:v>Cached PDF reused; 17-slide deck opened in 20 ms; render/nav passed.</x:v>
      </x:c>
      <x:c r="G13" s="20" t="str">
        <x:v>Pass</x:v>
      </x:c>
      <x:c r="H13" s="20" t="str">
        <x:v>/tmp/pptbridge_render_smoke Desktop/PPT ZA PROBU PPTX</x:v>
      </x:c>
      <x:c r="I13" s="20" t="str">
        <x:v>2026-06-23</x:v>
      </x:c>
    </x:row>
    <x:row r="14" ht="64" customHeight="1">
      <x:c r="A14" s="20" t="str">
        <x:v>T-010</x:v>
      </x:c>
      <x:c r="B14" s="20" t="str">
        <x:v>LIVE-001</x:v>
      </x:c>
      <x:c r="C14" s="20" t="str">
        <x:v>PowerPoint Save As fallback</x:v>
      </x:c>
      <x:c r="D14" s="20" t="str">
        <x:v>Run PowerPoint AppleScript open/save-as-PDF through full .app path.</x:v>
      </x:c>
      <x:c r="E14" s="20" t="str">
        <x:v>PowerPoint creates a PDF and closes the opened presentation.</x:v>
      </x:c>
      <x:c r="F14" s="20" t="str">
        <x:v>PowerPoint generated /tmp/pptbridge-powerpoint-fallback-test.pdf successfully.</x:v>
      </x:c>
      <x:c r="G14" s="20" t="str">
        <x:v>Pass</x:v>
      </x:c>
      <x:c r="H14" s="20" t="str">
        <x:v>osascript tell application /Applications/Microsoft PowerPoint.app</x:v>
      </x:c>
      <x:c r="I14" s="20" t="str">
        <x:v>2026-06-23</x:v>
      </x:c>
    </x:row>
    <x:row r="15" ht="64" customHeight="1">
      <x:c r="A15" s="20" t="str">
        <x:v>T-011</x:v>
      </x:c>
      <x:c r="B15" s="20" t="str">
        <x:v>LIVE-001</x:v>
      </x:c>
      <x:c r="C15" s="20" t="str">
        <x:v>Start Live Mode smoke</x:v>
      </x:c>
      <x:c r="D15" s="20" t="str">
        <x:v>Compile and run native-plugin/tests/live_start_smoke.mm against test PPTX.</x:v>
      </x:c>
      <x:c r="E15" s="20" t="str">
        <x:v>Start Live Mode opens slideshow, navigation works, and Stop closes it.</x:v>
      </x:c>
      <x:c r="F15" s="20" t="str">
        <x:v>Live started in 4464 ms, Next advanced to slide 2, Stop closed the slideshow.</x:v>
      </x:c>
      <x:c r="G15" s="20" t="str">
        <x:v>Pass</x:v>
      </x:c>
      <x:c r="H15" s="20" t="str">
        <x:v>/tmp/pptbridge_live_start_smoke /tmp/pptbridge-uncached-livepath-test.pptx</x:v>
      </x:c>
      <x:c r="I15" s="20" t="str">
        <x:v>2026-06-23</x:v>
      </x:c>
    </x:row>
    <x:row r="16" ht="64" customHeight="1">
      <x:c r="A16" s="20" t="str">
        <x:v>T-012</x:v>
      </x:c>
      <x:c r="B16" s="20" t="str">
        <x:v>INSTALL-001</x:v>
      </x:c>
      <x:c r="C16" s="20" t="str">
        <x:v>Local install and OBS load</x:v>
      </x:c>
      <x:c r="D16" s="20" t="str">
        <x:v>Install built bundle locally and launch OBS.</x:v>
      </x:c>
      <x:c r="E16" s="20" t="str">
        <x:v>OBS loads PPTBridge without crash and existing source renders.</x:v>
      </x:c>
      <x:c r="F16" s="20" t="str">
        <x:v>OBS log shows Native plugin loaded; cached source loaded in 178 ms; no PPTBridge errors.</x:v>
      </x:c>
      <x:c r="G16" s="20" t="str">
        <x:v>Pass</x:v>
      </x:c>
      <x:c r="H16" s="20" t="str">
        <x:v>OBS log 2026-06-22 00-23-32.txt</x:v>
      </x:c>
      <x:c r="I16" s="20" t="str">
        <x:v>2026-06-23</x:v>
      </x:c>
    </x:row>
    <x:row r="17" ht="64" customHeight="1">
      <x:c r="A17" s="20" t="str">
        <x:v>T-013</x:v>
      </x:c>
      <x:c r="B17" s="20" t="str">
        <x:v>INSTALL-001</x:v>
      </x:c>
      <x:c r="C17" s="20" t="str">
        <x:v>Clean Apple Silicon build</x:v>
      </x:c>
      <x:c r="D17" s="20" t="str">
        <x:v>Run ./build.sh after PowerPoint automation fix.</x:v>
      </x:c>
      <x:c r="E17" s="20" t="str">
        <x:v>Bundle builds with no compile/link errors.</x:v>
      </x:c>
      <x:c r="F17" s="20" t="str">
        <x:v>Build passed and produced native-plugin/build/bundle/pptbridge-obs.plugin.</x:v>
      </x:c>
      <x:c r="G17" s="20" t="str">
        <x:v>Pass</x:v>
      </x:c>
      <x:c r="H17" s="20" t="str">
        <x:v>./build.sh on 2026-06-22</x:v>
      </x:c>
      <x:c r="I17" s="20" t="str">
        <x:v>2026-06-23</x:v>
      </x:c>
    </x:row>
    <x:row r="18" ht="64" customHeight="1">
      <x:c r="A18" s="20" t="str">
        <x:v>T-014</x:v>
      </x:c>
      <x:c r="B18" s="20" t="str">
        <x:v>LIVE-001</x:v>
      </x:c>
      <x:c r="C18" s="20" t="str">
        <x:v>Automation guardrails</x:v>
      </x:c>
      <x:c r="D18" s="20" t="str">
        <x:v>Run native-plugin/tests/audit_guardrails.py.</x:v>
      </x:c>
      <x:c r="E18" s="20" t="str">
        <x:v>Guardrails catch regressions in PowerPoint .app targeting, timeouts, cache, and hotkey defaults.</x:v>
      </x:c>
      <x:c r="F18" s="20" t="str">
        <x:v>Audit guardrails passed with exit code 0.</x:v>
      </x:c>
      <x:c r="G18" s="20" t="str">
        <x:v>Pass</x:v>
      </x:c>
      <x:c r="H18" s="20" t="str">
        <x:v>audit_guardrails.py on 2026-06-22</x:v>
      </x:c>
      <x:c r="I18" s="20" t="str">
        <x:v>2026-06-23</x:v>
      </x:c>
    </x:row>
    <x:row r="19" ht="64" customHeight="1">
      <x:c r="A19" s="20" t="str">
        <x:v>T-015</x:v>
      </x:c>
      <x:c r="B19" s="20" t="str">
        <x:v>DECK-002</x:v>
      </x:c>
      <x:c r="C19" s="20" t="str">
        <x:v>PDF smoke retest</x:v>
      </x:c>
      <x:c r="D19" s="20" t="str">
        <x:v>Run render_smoke against Desktop PDF test deck.</x:v>
      </x:c>
      <x:c r="E19" s="20" t="str">
        <x:v>PDF loads and renders slide and presenter output.</x:v>
      </x:c>
      <x:c r="F19" s="20" t="str">
        <x:v>20-slide PDF opened in 19 ms; slide/presenter render and navigation passed.</x:v>
      </x:c>
      <x:c r="G19" s="20" t="str">
        <x:v>Pass</x:v>
      </x:c>
      <x:c r="H19" s="20" t="str">
        <x:v>/tmp/pptbridge_render_smoke IV -1 Ana Dimitrijevic.pdf</x:v>
      </x:c>
      <x:c r="I19" s="20" t="str">
        <x:v>2026-06-23</x:v>
      </x:c>
    </x:row>
    <x:row r="20" ht="64" customHeight="1">
      <x:c r="A20" s="20" t="str">
        <x:v>T-016</x:v>
      </x:c>
      <x:c r="B20" s="20" t="str">
        <x:v>CACHE-001</x:v>
      </x:c>
      <x:c r="C20" s="20" t="str">
        <x:v>Cached PPTX smoke retest</x:v>
      </x:c>
      <x:c r="D20" s="20" t="str">
        <x:v>Run render_smoke against cached Desktop PPTX.</x:v>
      </x:c>
      <x:c r="E20" s="20" t="str">
        <x:v>Cached PDF is reused and the deck renders quickly.</x:v>
      </x:c>
      <x:c r="F20" s="20" t="str">
        <x:v>17-slide cached PPTX opened in 19 ms and rendered successfully.</x:v>
      </x:c>
      <x:c r="G20" s="20" t="str">
        <x:v>Pass</x:v>
      </x:c>
      <x:c r="H20" s="20" t="str">
        <x:v>/tmp/pptbridge_render_smoke II-3 Aldin Skenderi.pptx</x:v>
      </x:c>
      <x:c r="I20" s="20" t="str">
        <x:v>2026-06-23</x:v>
      </x:c>
    </x:row>
    <x:row r="21" ht="64" customHeight="1">
      <x:c r="A21" s="20" t="str">
        <x:v>T-017</x:v>
      </x:c>
      <x:c r="B21" s="20" t="str">
        <x:v>LOAD-001</x:v>
      </x:c>
      <x:c r="C21" s="20" t="str">
        <x:v>Uncached PPTX load retest</x:v>
      </x:c>
      <x:c r="D21" s="20" t="str">
        <x:v>Copy test PPTX to /tmp and run render_smoke outside sandbox.</x:v>
      </x:c>
      <x:c r="E21" s="20" t="str">
        <x:v>First preview appears after real conversion; no crash or blank permanent source.</x:v>
      </x:c>
      <x:c r="F21" s="20" t="str">
        <x:v>Static PDF prepared in 3254 ms; first preview opened in 3314 ms; render passed.</x:v>
      </x:c>
      <x:c r="G21" s="20" t="str">
        <x:v>Pass</x:v>
      </x:c>
      <x:c r="H21" s="20" t="str">
        <x:v>/tmp/pptbridge_render_smoke /tmp/pptbridge-uncached-livepath-test.pptx</x:v>
      </x:c>
      <x:c r="I21" s="20" t="str">
        <x:v>2026-06-23</x:v>
      </x:c>
    </x:row>
    <x:row r="22" ht="64" customHeight="1">
      <x:c r="A22" s="20" t="str">
        <x:v>T-018</x:v>
      </x:c>
      <x:c r="B22" s="20" t="str">
        <x:v>LIVE-001</x:v>
      </x:c>
      <x:c r="C22" s="20" t="str">
        <x:v>Start Live Mode retest</x:v>
      </x:c>
      <x:c r="D22" s="20" t="str">
        <x:v>Run live_start_smoke outside sandbox against copied PPTX.</x:v>
      </x:c>
      <x:c r="E22" s="20" t="str">
        <x:v>Start Live Mode opens PowerPoint slideshow, Next works, Stop closes it.</x:v>
      </x:c>
      <x:c r="F22" s="20" t="str">
        <x:v>Live mode started in 2819 ms after load; current became slide 2; Stop closed the slideshow.</x:v>
      </x:c>
      <x:c r="G22" s="20" t="str">
        <x:v>Pass</x:v>
      </x:c>
      <x:c r="H22" s="20" t="str">
        <x:v>/tmp/pptbridge_live_start_smoke /tmp/pptbridge-uncached-livepath-test.pptx</x:v>
      </x:c>
      <x:c r="I22" s="20" t="str">
        <x:v>2026-06-23</x:v>
      </x:c>
    </x:row>
    <x:row r="23" ht="64" customHeight="1">
      <x:c r="A23" s="20" t="str">
        <x:v>T-019</x:v>
      </x:c>
      <x:c r="B23" s="20" t="str">
        <x:v>HOTKEY-004</x:v>
      </x:c>
      <x:c r="C23" s="20" t="str">
        <x:v>Arrow-key configuration audit</x:v>
      </x:c>
      <x:c r="D23" s="20" t="str">
        <x:v>Inspect plugin code and current OBS profile for left/right arrow capture.</x:v>
      </x:c>
      <x:c r="E23" s="20" t="str">
        <x:v>No default PPTBridge hotkey should bind left/right; global clicker capture should filter plain arrows.</x:v>
      </x:c>
      <x:c r="F23" s="20" t="str">
        <x:v>OBS profile has pptbridge_native_next=OBS_KEY_2 and previous=OBS_KEY_1 only; code filters kVK_LeftArrow/kVK_RightArrow from clicker capture.</x:v>
      </x:c>
      <x:c r="G23" s="20" t="str">
        <x:v>Pass</x:v>
      </x:c>
      <x:c r="H23" s="20" t="str">
        <x:v>basic.ini + plugin-main.mm inspection</x:v>
      </x:c>
      <x:c r="I23" s="20" t="str">
        <x:v>2026-06-23</x:v>
      </x:c>
    </x:row>
    <x:row r="24" ht="64" customHeight="1">
      <x:c r="A24" s="20" t="str">
        <x:v>T-020</x:v>
      </x:c>
      <x:c r="B24" s="20" t="str">
        <x:v>OSCFB-001</x:v>
      </x:c>
      <x:c r="C24" s="20" t="str">
        <x:v>OSC feedback retest</x:v>
      </x:c>
      <x:c r="D24" s="20" t="str">
        <x:v>Compile and run native-plugin/tests/osc_feedback_smoke.cpp.</x:v>
      </x:c>
      <x:c r="E24" s="20" t="str">
        <x:v>OSC feedback sender emits expected status messages.</x:v>
      </x:c>
      <x:c r="F24" s="20" t="str">
        <x:v>Smoke test passed with 16 messages.</x:v>
      </x:c>
      <x:c r="G24" s="20" t="str">
        <x:v>Pass</x:v>
      </x:c>
      <x:c r="H24" s="20" t="str">
        <x:v>/tmp/pptbridge_osc_feedback_test on 2026-06-22</x:v>
      </x:c>
      <x:c r="I24" s="20" t="str">
        <x:v>2026-06-23</x:v>
      </x:c>
    </x:row>
    <x:row r="25" ht="64" customHeight="1">
      <x:c r="A25" s="20" t="str">
        <x:v>T-021</x:v>
      </x:c>
      <x:c r="B25" s="20" t="str">
        <x:v>QA-001</x:v>
      </x:c>
      <x:c r="C25" s="20" t="str">
        <x:v>Canonical tracker verification</x:v>
      </x:c>
      <x:c r="D25" s="20" t="str">
        <x:v>Import PPTBridge-Feature-QA-Tracker.xlsx with artifact-tool and scan key sheets plus formula errors.</x:v>
      </x:c>
      <x:c r="E25" s="20" t="str">
        <x:v>Workbook opens with Summary, UserStories, TestLog, and Issues sheets; formula scan finds no errors.</x:v>
      </x:c>
      <x:c r="F25" s="20" t="str">
        <x:v>Import passed: 4 sheets found, TestLog range A1:I25, formula error scan matched 0 entries.</x:v>
      </x:c>
      <x:c r="G25" s="20" t="str">
        <x:v>Pass</x:v>
      </x:c>
      <x:c r="H25" s="20" t="str">
        <x:v>artifact-tool import + formula scan on 2026-06-22</x:v>
      </x:c>
      <x:c r="I25" s="20" t="str">
        <x:v>2026-06-23</x:v>
      </x:c>
    </x:row>
    <x:row r="26" ht="64" customHeight="1">
      <x:c r="A26" s="20" t="str">
        <x:v>T-022</x:v>
      </x:c>
      <x:c r="B26" s="20" t="str">
        <x:v>HOTKEY-004</x:v>
      </x:c>
      <x:c r="C26" s="20" t="str">
        <x:v>Automated GUI arrow harness</x:v>
      </x:c>
      <x:c r="D26" s="20" t="str">
        <x:v>Launch a focused Cocoa key receiver and send Left/Right/PageDown/PageUp while OBS is open and clicker capture is active.</x:v>
      </x:c>
      <x:c r="E26" s="20" t="str">
        <x:v>Focused app should receive plain left/right. Captured clicker keys should not leak to the focused app.</x:v>
      </x:c>
      <x:c r="F26" s="20" t="str">
        <x:v>Blocked: harness launched from Codex/LaunchServices did not become a normal frontmost application, so no valid key-delivery evidence was produced. Code/config audit remains clean.</x:v>
      </x:c>
      <x:c r="G26" s="20" t="str">
        <x:v>Blocked</x:v>
      </x:c>
      <x:c r="H26" s="20" t="str">
        <x:v>qa/pptbridge_key_receiver_app.mm + System Events frontmost check</x:v>
      </x:c>
      <x:c r="I26" s="20" t="str">
        <x:v>2026-06-23</x:v>
      </x:c>
    </x:row>
    <x:row r="27" ht="64" customHeight="1">
      <x:c r="A27" s="20" t="str">
        <x:v>T-023</x:v>
      </x:c>
      <x:c r="B27" s="20" t="str">
        <x:v>INSTALL-001</x:v>
      </x:c>
      <x:c r="C27" s="20" t="str">
        <x:v>Clean Apple Silicon rebuild</x:v>
      </x:c>
      <x:c r="D27" s="20" t="str">
        <x:v>Run ./build.sh in native-plugin after current PowerPoint automation changes.</x:v>
      </x:c>
      <x:c r="E27" s="20" t="str">
        <x:v>Plugin bundle builds cleanly.</x:v>
      </x:c>
      <x:c r="F27" s="20" t="str">
        <x:v>Build completed and linked build/bundle/pptbridge-obs.plugin with exit code 0.</x:v>
      </x:c>
      <x:c r="G27" s="20" t="str">
        <x:v>Pass</x:v>
      </x:c>
      <x:c r="H27" s="20" t="str">
        <x:v>./build.sh on 2026-06-23</x:v>
      </x:c>
      <x:c r="I27" s="20" t="str">
        <x:v>2026-06-23</x:v>
      </x:c>
    </x:row>
    <x:row r="28" ht="64" customHeight="1">
      <x:c r="A28" s="20" t="str">
        <x:v>T-024</x:v>
      </x:c>
      <x:c r="B28" s="20" t="str">
        <x:v>LIVE-001</x:v>
      </x:c>
      <x:c r="C28" s="20" t="str">
        <x:v>Automation guardrails retest</x:v>
      </x:c>
      <x:c r="D28" s="20" t="str">
        <x:v>Run native-plugin/tests/audit_guardrails.py after AppleScript/live-start changes.</x:v>
      </x:c>
      <x:c r="E28" s="20" t="str">
        <x:v>Guardrails catch regressions in AppleScript wrapping, timeouts, live start, hotkeys, OSC, and presenter manual-live messaging.</x:v>
      </x:c>
      <x:c r="F28" s="20" t="str">
        <x:v>Audit guardrails exited 0.</x:v>
      </x:c>
      <x:c r="G28" s="20" t="str">
        <x:v>Pass</x:v>
      </x:c>
      <x:c r="H28" s="20" t="str">
        <x:v>/usr/bin/python3 native-plugin/tests/audit_guardrails.py on 2026-06-23</x:v>
      </x:c>
      <x:c r="I28" s="20" t="str">
        <x:v>2026-06-23</x:v>
      </x:c>
    </x:row>
    <x:row r="29" ht="64" customHeight="1">
      <x:c r="A29" s="20" t="str">
        <x:v>T-025</x:v>
      </x:c>
      <x:c r="B29" s="20" t="str">
        <x:v>DECK-002</x:v>
      </x:c>
      <x:c r="C29" s="20" t="str">
        <x:v>PDF render smoke retest</x:v>
      </x:c>
      <x:c r="D29" s="20" t="str">
        <x:v>Run render_smoke against Desktop PDF test deck.</x:v>
      </x:c>
      <x:c r="E29" s="20" t="str">
        <x:v>PDF loads and renders slide/presenter output.</x:v>
      </x:c>
      <x:c r="F29" s="20" t="str">
        <x:v>20-slide PDF opened in 53 ms; slide render, presenter render, navigation render, and cue-state checks passed.</x:v>
      </x:c>
      <x:c r="G29" s="20" t="str">
        <x:v>Pass</x:v>
      </x:c>
      <x:c r="H29" s="20" t="str">
        <x:v>/tmp/pptbridge_render_smoke IV -1 Ana Dimitrijevic.pdf on 2026-06-23</x:v>
      </x:c>
      <x:c r="I29" s="20" t="str">
        <x:v>2026-06-23</x:v>
      </x:c>
    </x:row>
    <x:row r="30" ht="64" customHeight="1">
      <x:c r="A30" s="20" t="str">
        <x:v>T-026</x:v>
      </x:c>
      <x:c r="B30" s="20" t="str">
        <x:v>CACHE-001</x:v>
      </x:c>
      <x:c r="C30" s="20" t="str">
        <x:v>Small cached PPTX render smoke retest</x:v>
      </x:c>
      <x:c r="D30" s="20" t="str">
        <x:v>Run render_smoke against cached Desktop PPTX.</x:v>
      </x:c>
      <x:c r="E30" s="20" t="str">
        <x:v>Cached PPTX should reuse generated PDF and render quickly.</x:v>
      </x:c>
      <x:c r="F30" s="20" t="str">
        <x:v>Cached PDF reused; 17-slide PPTX opened first preview in 43 ms; slide/presenter/nav render and cue-state checks passed.</x:v>
      </x:c>
      <x:c r="G30" s="20" t="str">
        <x:v>Pass</x:v>
      </x:c>
      <x:c r="H30" s="20" t="str">
        <x:v>/tmp/pptbridge_render_smoke II-3 Aldin Skenderi.pptx on 2026-06-23</x:v>
      </x:c>
      <x:c r="I30" s="20" t="str">
        <x:v>2026-06-23</x:v>
      </x:c>
    </x:row>
    <x:row r="31" ht="64" customHeight="1">
      <x:c r="A31" s="20" t="str">
        <x:v>T-027</x:v>
      </x:c>
      <x:c r="B31" s="20" t="str">
        <x:v>LOAD-001</x:v>
      </x:c>
      <x:c r="C31" s="20" t="str">
        <x:v>Large uncached PPTX load retest</x:v>
      </x:c>
      <x:c r="D31" s="20" t="str">
        <x:v>Copy 19 MB PPTX to /tmp with a new name and run render_smoke with 240s timeout.</x:v>
      </x:c>
      <x:c r="E31" s="20" t="str">
        <x:v>First preview appears after conversion; source does not remain permanently blank.</x:v>
      </x:c>
      <x:c r="F31" s="20" t="str">
        <x:v>Static PDF prepared in 7612 ms; first preview opened in 7668 ms; full load 7845 ms; slide/presenter/nav render passed.</x:v>
      </x:c>
      <x:c r="G31" s="20" t="str">
        <x:v>Pass</x:v>
      </x:c>
      <x:c r="H31" s="20" t="str">
        <x:v>/tmp/pptbridge_render_smoke /tmp/pptbridge-large-qa-20260623.pptx</x:v>
      </x:c>
      <x:c r="I31" s="20" t="str">
        <x:v>2026-06-23</x:v>
      </x:c>
    </x:row>
    <x:row r="32" ht="64" customHeight="1">
      <x:c r="A32" s="20" t="str">
        <x:v>T-028</x:v>
      </x:c>
      <x:c r="B32" s="20" t="str">
        <x:v>CACHE-001</x:v>
      </x:c>
      <x:c r="C32" s="20" t="str">
        <x:v>Large cached PPTX reload retest</x:v>
      </x:c>
      <x:c r="D32" s="20" t="str">
        <x:v>Run render_smoke a second time against the same copied 19 MB PPTX.</x:v>
      </x:c>
      <x:c r="E32" s="20" t="str">
        <x:v>Cached PDF should be reused and preview should appear quickly.</x:v>
      </x:c>
      <x:c r="F32" s="20" t="str">
        <x:v>Cached PDF reused; PDF prep 0 ms; first preview 47 ms; full load 242 ms; render/nav/cue-state checks passed.</x:v>
      </x:c>
      <x:c r="G32" s="20" t="str">
        <x:v>Pass</x:v>
      </x:c>
      <x:c r="H32" s="20" t="str">
        <x:v>/tmp/pptbridge_render_smoke /tmp/pptbridge-large-qa-20260623.pptx second run</x:v>
      </x:c>
      <x:c r="I32" s="20" t="str">
        <x:v>2026-06-23</x:v>
      </x:c>
    </x:row>
    <x:row r="33" ht="64" customHeight="1">
      <x:c r="A33" s="20" t="str">
        <x:v>T-029</x:v>
      </x:c>
      <x:c r="B33" s="20" t="str">
        <x:v>LIVE-001</x:v>
      </x:c>
      <x:c r="C33" s="20" t="str">
        <x:v>Immediate Start Live Mode retest</x:v>
      </x:c>
      <x:c r="D33" s="20" t="str">
        <x:v>Run live_start_smoke against the original large Desktop PPTX.</x:v>
      </x:c>
      <x:c r="E33" s="20" t="str">
        <x:v>Start Live Mode opens PowerPoint slideshow without requiring prior static load, Next works, and Stop closes it.</x:v>
      </x:c>
      <x:c r="F33" s="20" t="str">
        <x:v>Live ready on 10-slide deck; Next advanced to slide 2; Stop request sent after the smoke.</x:v>
      </x:c>
      <x:c r="G33" s="20" t="str">
        <x:v>Pass</x:v>
      </x:c>
      <x:c r="H33" s="20" t="str">
        <x:v>/tmp/pptbridge_live_start_smoke Desktop/PPT ZA PROBU/II-5 Bajric - HEMOPTIZE.pptx</x:v>
      </x:c>
      <x:c r="I33" s="20" t="str">
        <x:v>2026-06-23</x:v>
      </x:c>
    </x:row>
    <x:row r="34" ht="64" customHeight="1">
      <x:c r="A34" s="20" t="str">
        <x:v>T-030</x:v>
      </x:c>
      <x:c r="B34" s="20" t="str">
        <x:v>LIVE-002</x:v>
      </x:c>
      <x:c r="C34" s="20" t="str">
        <x:v>Preview-first manual Start Live Mode retest</x:v>
      </x:c>
      <x:c r="D34" s="20" t="str">
        <x:v>Run live_powerpoint_smoke against original large Desktop PPTX: load preview, then click/start live mode path.</x:v>
      </x:c>
      <x:c r="E34" s="20" t="str">
        <x:v>Manual preview is visible before live mode; Start then opens slideshow and Stop closes it.</x:v>
      </x:c>
      <x:c r="F34" s="20" t="str">
        <x:v>Manual preview loaded 10 slides with live_ready=no; Start opened slideshow; Stop left live_ready=no.</x:v>
      </x:c>
      <x:c r="G34" s="20" t="str">
        <x:v>Pass</x:v>
      </x:c>
      <x:c r="H34" s="20" t="str">
        <x:v>/tmp/pptbridge_live_powerpoint_smoke Desktop/PPT ZA PROBU/II-5 Bajric - HEMOPTIZE.pptx</x:v>
      </x:c>
      <x:c r="I34" s="20" t="str">
        <x:v>2026-06-23</x:v>
      </x:c>
    </x:row>
    <x:row r="35" ht="64" customHeight="1">
      <x:c r="A35" s="20" t="str">
        <x:v>T-031</x:v>
      </x:c>
      <x:c r="B35" s="20" t="str">
        <x:v>OSCFB-001</x:v>
      </x:c>
      <x:c r="C35" s="20" t="str">
        <x:v>OSC feedback smoke retest</x:v>
      </x:c>
      <x:c r="D35" s="20" t="str">
        <x:v>Compile and run osc_feedback_smoke after current source changes.</x:v>
      </x:c>
      <x:c r="E35" s="20" t="str">
        <x:v>OSC feedback sender emits expected status messages.</x:v>
      </x:c>
      <x:c r="F35" s="20" t="str">
        <x:v>Smoke test passed with 16 messages.</x:v>
      </x:c>
      <x:c r="G35" s="20" t="str">
        <x:v>Pass</x:v>
      </x:c>
      <x:c r="H35" s="20" t="str">
        <x:v>/tmp/pptbridge_osc_feedback_test on 2026-06-23</x:v>
      </x:c>
      <x:c r="I35" s="20" t="str">
        <x:v>2026-06-23</x:v>
      </x:c>
    </x:row>
    <x:row r="36" ht="64" customHeight="1">
      <x:c r="A36" s="20" t="str">
        <x:v>T-032</x:v>
      </x:c>
      <x:c r="B36" s="20" t="str">
        <x:v>QA-001</x:v>
      </x:c>
      <x:c r="C36" s="20" t="str">
        <x:v>Diff whitespace check</x:v>
      </x:c>
      <x:c r="D36" s="20" t="str">
        <x:v>Run git diff --check.</x:v>
      </x:c>
      <x:c r="E36" s="20" t="str">
        <x:v>No whitespace or patch formatting errors.</x:v>
      </x:c>
      <x:c r="F36" s="20" t="str">
        <x:v>git diff --check exited 0.</x:v>
      </x:c>
      <x:c r="G36" s="20" t="str">
        <x:v>Pass</x:v>
      </x:c>
      <x:c r="H36" s="20" t="str">
        <x:v>git diff --check on 2026-06-23</x:v>
      </x:c>
      <x:c r="I36" s="20" t="str">
        <x:v>2026-06-23</x:v>
      </x:c>
    </x:row>
    <x:row r="37" ht="64" customHeight="1">
      <x:c r="A37" s="20" t="str">
        <x:v>T-033</x:v>
      </x:c>
      <x:c r="B37" s="20" t="str">
        <x:v>CUE-001/CUE-002/CUE-003/PRES-006</x:v>
      </x:c>
      <x:c r="C37" s="20" t="str">
        <x:v>Cue list render/state smoke</x:v>
      </x:c>
      <x:c r="D37" s="20" t="str">
        <x:v>Run the updated render_smoke against PDF, small cached PPTX, and large cached PPTX with presenter cue list enabled.</x:v>
      </x:c>
      <x:c r="E37" s="20" t="str">
        <x:v>Cue list status should exist; current/next cue checks and clear operation should update snapshot state.</x:v>
      </x:c>
      <x:c r="F37" s="20" t="str">
        <x:v>Passed on 20-slide PDF, 17-slide cached PPTX, and 10-slide large cached PPTX; each printed cue status ok with expected cue count.</x:v>
      </x:c>
      <x:c r="G37" s="20" t="str">
        <x:v>Pass</x:v>
      </x:c>
      <x:c r="H37" s="20" t="str">
        <x:v>/tmp/pptbridge_render_smoke cue status checks on 2026-06-23</x:v>
      </x:c>
      <x:c r="I37" s="20" t="str">
        <x:v>2026-06-23</x:v>
      </x:c>
    </x:row>
    <x:row r="38" ht="64" customHeight="1">
      <x:c r="A38" s="20" t="str">
        <x:v>T-034</x:v>
      </x:c>
      <x:c r="B38" s="20" t="str">
        <x:v>INSTALL-001</x:v>
      </x:c>
      <x:c r="C38" s="20" t="str">
        <x:v>v0.5.7 package install smoke</x:v>
      </x:c>
      <x:c r="D38" s="20" t="str">
        <x:v>Run packaged 1-Install-PPTBridge-SK.command from the v0.5.7 release folder after gracefully quitting OBS.</x:v>
      </x:c>
      <x:c r="E38" s="20" t="str">
        <x:v>Installer copies plugin, opens OBS, and OBS loads PPTBridge sources.</x:v>
      </x:c>
      <x:c r="F38" s="20" t="str">
        <x:v>Installer completed successfully; OBS log showed [PPTBridge SK] Native plugin loaded plus source registrations.</x:v>
      </x:c>
      <x:c r="G38" s="20" t="str">
        <x:v>Pass</x:v>
      </x:c>
      <x:c r="H38" s="20" t="str">
        <x:v>OBS log 2026-06-23 02-41-51.txt</x:v>
      </x:c>
      <x:c r="I38" s="20" t="str">
        <x:v>2026-06-23</x:v>
      </x:c>
    </x:row>
    <x:row r="39" ht="64" customHeight="1">
      <x:c r="A39" s="20" t="str">
        <x:v>T-035</x:v>
      </x:c>
      <x:c r="B39" s="20" t="str">
        <x:v>INSTALL-004/PACK-001</x:v>
      </x:c>
      <x:c r="C39" s="20" t="str">
        <x:v>v0.5.7 package inspection</x:v>
      </x:c>
      <x:c r="D39" s="20" t="str">
        <x:v>Run make-release.sh, unzip -l, packaged README inspection, Info.plist version check, and shasum verification.</x:v>
      </x:c>
      <x:c r="E39" s="20" t="str">
        <x:v>ZIP contains only expected user-facing files; packaged README and bundle version are 0.5.7; checksum verifies.</x:v>
      </x:c>
      <x:c r="F39" s="20" t="str">
        <x:v>ZIP listing was clean, Info.plist CFBundleShortVersionString/CFBundleVersion were 0.5.7, and checksum returned OK.</x:v>
      </x:c>
      <x:c r="G39" s="20" t="str">
        <x:v>Pass</x:v>
      </x:c>
      <x:c r="H39" s="20" t="str">
        <x:v>native-plugin/release/pptbridge-obs-macos-apple-silicon.zip</x:v>
      </x:c>
      <x:c r="I39" s="20" t="str">
        <x:v>2026-06-23</x:v>
      </x:c>
    </x:row>
    <x:row r="40" ht="64" customHeight="1">
      <x:c r="A40" s="20" t="str">
        <x:v>T-036</x:v>
      </x:c>
      <x:c r="B40" s="20" t="str">
        <x:v>OSC-002/OSC-003</x:v>
      </x:c>
      <x:c r="C40" s="20" t="str">
        <x:v>Runtime OSC command in installed OBS</x:v>
      </x:c>
      <x:c r="D40" s="20" t="str">
        <x:v>With installed v0.5.7 OBS running, send /pptbridge/next then /pptbridge/previous through packaged send-osc.sh.</x:v>
      </x:c>
      <x:c r="E40" s="20" t="str">
        <x:v>OBS receives both commands and routes them to the current target deck.</x:v>
      </x:c>
      <x:c r="F40" s="20" t="str">
        <x:v>OBS log recorded OSC: next slide (targets=1) and OSC: previous slide (targets=1).</x:v>
      </x:c>
      <x:c r="G40" s="20" t="str">
        <x:v>Pass</x:v>
      </x:c>
      <x:c r="H40" s="20" t="str">
        <x:v>OBS log 2026-06-23 02-41-51.txt</x:v>
      </x:c>
      <x:c r="I40" s="20" t="str">
        <x:v>2026-06-23</x:v>
      </x:c>
    </x:row>
    <x:row r="41" ht="64" customHeight="1">
      <x:c r="A41" s="20" t="str">
        <x:v>T-037</x:v>
      </x:c>
      <x:c r="B41" s="20" t="str">
        <x:v>LOAD-001/LIVE-001</x:v>
      </x:c>
      <x:c r="C41" s="20" t="str">
        <x:v>RunTask stdout/stderr lifetime regression</x:v>
      </x:c>
      <x:c r="D41" s="20" t="str">
        <x:v>Run render_smoke against cached PPTX after fixing RunTask output collection.</x:v>
      </x:c>
      <x:c r="E41" s="20" t="str">
        <x:v>PPTX metadata helper output is read safely without crashing the load worker.</x:v>
      </x:c>
      <x:c r="F41" s="20" t="str">
        <x:v>Small PPTX render smoke no longer exits 133; 17-slide deck loaded, rendered, and cue-state checks passed.</x:v>
      </x:c>
      <x:c r="G41" s="20" t="str">
        <x:v>Pass</x:v>
      </x:c>
      <x:c r="H41" s="20" t="str">
        <x:v>/tmp/pptbridge_render_smoke II-3 Aldin Skenderi.pptx on 2026-06-23</x:v>
      </x:c>
      <x:c r="I41" s="20" t="str">
        <x:v>2026-06-23</x:v>
      </x:c>
    </x:row>
    <x:row r="42" ht="64" customHeight="1">
      <x:c r="A42" s="20" t="str">
        <x:v>T-038</x:v>
      </x:c>
      <x:c r="B42" s="20" t="str">
        <x:v>LIVE-001/LIVE-009</x:v>
      </x:c>
      <x:c r="C42" s="20" t="str">
        <x:v>Original-path Start Live regression</x:v>
      </x:c>
      <x:c r="D42" s="20" t="str">
        <x:v>Run live_start_smoke and live_powerpoint_smoke against original Desktop PPTX after temp staging hangs were reproduced.</x:v>
      </x:c>
      <x:c r="E42" s="20" t="str">
        <x:v>PowerPoint opens the user-selected deck path first and starts slideshow reliably.</x:v>
      </x:c>
      <x:c r="F42" s="20" t="str">
        <x:v>Both immediate Start Live and preview-first Start Live passed on the original Desktop deck.</x:v>
      </x:c>
      <x:c r="G42" s="20" t="str">
        <x:v>Pass</x:v>
      </x:c>
      <x:c r="H42" s="20" t="str">
        <x:v>/tmp/pptbridge_live_start_smoke + /tmp/pptbridge_live_powerpoint_smoke on 2026-06-23</x:v>
      </x:c>
      <x:c r="I42" s="20" t="str">
        <x:v>2026-06-23</x:v>
      </x:c>
    </x:row>
    <x:row r="43" ht="64" customHeight="1">
      <x:c r="A43" s="20" t="str">
        <x:v>T-039</x:v>
      </x:c>
      <x:c r="B43" s="20" t="str">
        <x:v>DECK-002/CACHE-001/CUE-001/OSCFB-001</x:v>
      </x:c>
      <x:c r="C43" s="20" t="str">
        <x:v>Final render/cue/OSC smoke pass</x:v>
      </x:c>
      <x:c r="D43" s="20" t="str">
        <x:v>Run PDF render, small cached PPTX render, large uncached/cached PPTX render, and OSC feedback smoke after final live-path changes.</x:v>
      </x:c>
      <x:c r="E43" s="20" t="str">
        <x:v>Render, navigation, cue check state, cache reuse, and OSC feedback remain working.</x:v>
      </x:c>
      <x:c r="F43" s="20" t="str">
        <x:v>All render/cue checks passed and OSC feedback smoke returned 16 messages.</x:v>
      </x:c>
      <x:c r="G43" s="20" t="str">
        <x:v>Pass</x:v>
      </x:c>
      <x:c r="H43" s="20" t="str">
        <x:v>Final smoke pass on 2026-06-23</x:v>
      </x:c>
      <x:c r="I43" s="20" t="str">
        <x:v>2026-06-23</x:v>
      </x:c>
    </x:row>
  </x:sheetData>
  <x:mergeCells>
    <x:mergeCell ref="A1:N1"/>
    <x:mergeCell ref="A2:N2"/>
  </x:mergeCells>
  <x:dataValidations count="1">
    <x:dataValidation type="list" sqref="G5:G43">
      <x:formula1>"Pass,Fail,Not Run,Blocked,Retest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21c7e3830a42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10" hidden="0" customWidth="1"/>
    <x:col min="5" max="5" width="18" hidden="0" customWidth="1"/>
    <x:col min="6" max="6" width="54" hidden="0" customWidth="1"/>
    <x:col min="7" max="7" width="36" hidden="0" customWidth="1"/>
    <x:col min="8" max="8" width="46" hidden="0" customWidth="1"/>
    <x:col min="9" max="9" width="40" hidden="0" customWidth="1"/>
    <x:col min="10" max="10" width="18" hidden="0" customWidth="1"/>
  </x:cols>
  <x:sheetData>
    <x:row r="1" ht="28" customHeight="1">
      <x:c r="A1" s="18" t="str">
        <x:v>PPTBridge SK Issue / Fix / Retest Log</x:v>
      </x:c>
    </x:row>
    <x:row r="2" ht="28" customHeight="1">
      <x:c r="A2" s="5" t="str">
        <x:v>Only confirmed or user-reported test issues belong here. Keep fixes and retest evidence in the same row.</x:v>
      </x:c>
    </x:row>
    <x:row r="4">
      <x:c r="A4" s="9" t="str">
        <x:v>Issue ID</x:v>
      </x:c>
      <x:c r="B4" s="9" t="str">
        <x:v>Story ID</x:v>
      </x:c>
      <x:c r="C4" s="9" t="str">
        <x:v>Status</x:v>
      </x:c>
      <x:c r="D4" s="9" t="str">
        <x:v>Severity</x:v>
      </x:c>
      <x:c r="E4" s="9" t="str">
        <x:v>Type</x:v>
      </x:c>
      <x:c r="F4" s="9" t="str">
        <x:v>Description</x:v>
      </x:c>
      <x:c r="G4" s="9" t="str">
        <x:v>Evidence</x:v>
      </x:c>
      <x:c r="H4" s="9" t="str">
        <x:v>Next Action</x:v>
      </x:c>
      <x:c r="I4" s="9" t="str">
        <x:v>Fix Summary</x:v>
      </x:c>
      <x:c r="J4" s="9" t="str">
        <x:v>Retest Result</x:v>
      </x:c>
    </x:row>
    <x:row r="5" ht="72" customHeight="1">
      <x:c r="A5" s="20" t="str">
        <x:v>ISS-001</x:v>
      </x:c>
      <x:c r="B5" s="20" t="str">
        <x:v>LOAD-001</x:v>
      </x:c>
      <x:c r="C5" s="20" t="str">
        <x:v>Closed</x:v>
      </x:c>
      <x:c r="D5" s="20" t="str">
        <x:v>P0</x:v>
      </x:c>
      <x:c r="E5" s="20" t="str">
        <x:v>Performance/UX</x:v>
      </x:c>
      <x:c r="F5" s="20" t="str">
        <x:v>User reported new PPTX can take too long before appearing in OBS.</x:v>
      </x:c>
      <x:c r="G5" s="20" t="str">
        <x:v>Screen Recording 2026-06-20 13.26.51</x:v>
      </x:c>
      <x:c r="H5" s="20" t="str">
        <x:v>Keep testing bigger real decks and consider progress/status messaging for first-time conversion over ~5 seconds.</x:v>
      </x:c>
      <x:c r="I5" s="20" t="str">
        <x:v>2026-06-23 large uncached PPTX first preview 7668 ms, full load 7845 ms; same deck cached first preview 46 ms and full load 239 ms.</x:v>
      </x:c>
      <x:c r="J5" s="20" t="str">
        <x:v>Retested Pass</x:v>
      </x:c>
    </x:row>
    <x:row r="6" ht="72" customHeight="1">
      <x:c r="A6" s="20" t="str">
        <x:v>ISS-002</x:v>
      </x:c>
      <x:c r="B6" s="20" t="str">
        <x:v>HOTKEY-004</x:v>
      </x:c>
      <x:c r="C6" s="20" t="str">
        <x:v>Open</x:v>
      </x:c>
      <x:c r="D6" s="20" t="str">
        <x:v>P0</x:v>
      </x:c>
      <x:c r="E6" s="20" t="str">
        <x:v>Keyboard UX</x:v>
      </x:c>
      <x:c r="F6" s="20" t="str">
        <x:v>User reported left/right arrows unusable while OBS is open.</x:v>
      </x:c>
      <x:c r="G6" s="20" t="str">
        <x:v>User report in thread</x:v>
      </x:c>
      <x:c r="H6" s="20" t="str">
        <x:v>Do a hands-on OBS UI/text-field arrow-key check with clicker capture both off and on.</x:v>
      </x:c>
      <x:c r="I6" s="20" t="str">
        <x:v>Code/config audit is clean: PPTBridge hotkeys are 2/1 only and clicker capture filters plain left/right arrows. Automated GUI harness could not acquire normal frontmost focus from Codex.</x:v>
      </x:c>
      <x:c r="J6" s="20" t="str">
        <x:v>Code/config pass; manual UI retest still required</x:v>
      </x:c>
    </x:row>
    <x:row r="7" ht="72" customHeight="1">
      <x:c r="A7" s="20" t="str">
        <x:v>ISS-003</x:v>
      </x:c>
      <x:c r="B7" s="20" t="str">
        <x:v>LIVE-001</x:v>
      </x:c>
      <x:c r="C7" s="20" t="str">
        <x:v>Closed</x:v>
      </x:c>
      <x:c r="D7" s="20" t="str">
        <x:v>P0</x:v>
      </x:c>
      <x:c r="E7" s="20" t="str">
        <x:v>PowerPoint Automation</x:v>
      </x:c>
      <x:c r="F7" s="20" t="str">
        <x:v>Start Live Mode appeared to do nothing; PowerPoint automation could fail or hang when helper scripts used fragile staging paths or when PowerPoint got stuck in an empty launch state.</x:v>
      </x:c>
      <x:c r="G7" s="20" t="str">
        <x:v>Screen Recording 2026-06-20 14.11.57 plus AppleScript/runtime reproduction</x:v>
      </x:c>
      <x:c r="H7" s="20" t="str">
        <x:v>Keep live_start_smoke and live_powerpoint_smoke in regression loop before releases.</x:v>
      </x:c>
      <x:c r="I7" s="20" t="str">
        <x:v>AppleScript runner now keeps task output as std::string, idle PowerPoint retry parsing uses stable comma output, fresh plugin-owned bad PowerPoint launches can be terminated for retry, and live start opens the original selected deck path before staged fallback.</x:v>
      </x:c>
      <x:c r="J7" s="20" t="str">
        <x:v>Retested Pass</x:v>
      </x:c>
    </x:row>
  </x:sheetData>
  <x:mergeCells>
    <x:mergeCell ref="A1:N1"/>
    <x:mergeCell ref="A2:N2"/>
  </x:mergeCells>
  <x:dataValidations count="2">
    <x:dataValidation type="list" sqref="C5:C7">
      <x:formula1>"Open,Fixed,Retesting,Closed,Deferred"</x:formula1>
    </x:dataValidation>
    <x:dataValidation type="list" sqref="D5:D7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acef69480a44d5"/>
  </x:tableParts>
</x:worksheet>
</file>